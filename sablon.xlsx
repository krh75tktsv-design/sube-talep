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18220" windowHeight="17020" tabRatio="600" firstSheet="0" activeTab="4" autoFilterDateGrouping="1"/>
  </bookViews>
  <sheets>
    <sheet name="PASTA FRANSIZ" sheetId="1" state="visible" r:id="rId1"/>
    <sheet name="PASTA KLASİK" sheetId="2" state="visible" r:id="rId2"/>
    <sheet name="TATLI KURABİYE 1" sheetId="3" state="visible" r:id="rId3"/>
    <sheet name="TUZLU KURABİYE 2" sheetId="4" state="visible" r:id="rId4"/>
    <sheet name="TEK PASTA KLASİK" sheetId="5" state="visible" r:id="rId5"/>
    <sheet name="2 toplam" sheetId="6" state="visible" r:id="rId6"/>
  </sheets>
  <definedNames>
    <definedName name="_xlnm._FilterDatabase" localSheetId="2" hidden="1">'TATLI KURABİYE 1'!$A$5:$AC$5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5">
    <font>
      <name val="Calibri"/>
      <charset val="162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6"/>
      <scheme val="minor"/>
    </font>
    <font>
      <name val="Calibri"/>
      <charset val="162"/>
      <family val="2"/>
      <b val="1"/>
      <color theme="1"/>
      <sz val="16"/>
      <scheme val="minor"/>
    </font>
    <font>
      <name val="Calibri"/>
      <charset val="162"/>
      <family val="2"/>
      <color theme="1"/>
      <sz val="16"/>
      <scheme val="minor"/>
    </font>
    <font>
      <name val="Calibri"/>
      <charset val="162"/>
      <family val="2"/>
      <b val="1"/>
      <color theme="1"/>
      <sz val="18"/>
      <scheme val="minor"/>
    </font>
    <font>
      <name val="Calibri"/>
      <charset val="162"/>
      <family val="2"/>
      <color theme="1"/>
      <sz val="1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color theme="1"/>
      <sz val="18"/>
      <scheme val="minor"/>
    </font>
    <font>
      <name val="Calibri"/>
      <charset val="162"/>
      <family val="2"/>
      <color rgb="FF000000"/>
      <sz val="8"/>
    </font>
    <font>
      <name val="Aptos"/>
      <family val="2"/>
      <color theme="1"/>
      <sz val="8"/>
    </font>
    <font>
      <name val="Calibri"/>
      <charset val="162"/>
      <family val="2"/>
      <color theme="1"/>
      <sz val="8"/>
      <scheme val="minor"/>
    </font>
    <font>
      <name val="Calibri"/>
      <charset val="162"/>
      <family val="2"/>
      <b val="1"/>
      <color rgb="FF000000"/>
      <sz val="8"/>
    </font>
    <font>
      <name val="Aptos"/>
      <charset val="162"/>
      <family val="2"/>
      <color theme="1"/>
      <sz val="8"/>
    </font>
    <font>
      <name val="Calibri"/>
      <charset val="162"/>
      <family val="2"/>
      <color theme="1"/>
      <sz val="24"/>
      <scheme val="minor"/>
    </font>
    <font>
      <name val="Calibri"/>
      <charset val="162"/>
      <family val="2"/>
      <color theme="1"/>
      <sz val="30"/>
      <scheme val="minor"/>
    </font>
    <font>
      <name val="Calibri"/>
      <charset val="162"/>
      <family val="2"/>
      <b val="1"/>
      <color theme="1"/>
      <sz val="30"/>
      <scheme val="minor"/>
    </font>
    <font>
      <name val="Calibri"/>
      <family val="2"/>
      <b val="1"/>
      <color theme="1"/>
      <sz val="30"/>
      <scheme val="minor"/>
    </font>
    <font>
      <name val="Calibri"/>
      <family val="2"/>
      <color theme="1"/>
      <sz val="30"/>
      <scheme val="minor"/>
    </font>
    <font>
      <name val="Calibri"/>
      <family val="2"/>
      <color theme="1"/>
      <sz val="20"/>
      <scheme val="minor"/>
    </font>
    <font>
      <name val="Calibri"/>
      <charset val="162"/>
      <family val="2"/>
      <b val="1"/>
      <color theme="1"/>
      <sz val="25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theme="1"/>
      <sz val="40"/>
      <scheme val="minor"/>
    </font>
    <font>
      <name val="Calibri"/>
      <family val="2"/>
      <color theme="1"/>
      <sz val="40"/>
      <scheme val="minor"/>
    </font>
    <font>
      <name val="Calibri"/>
      <family val="2"/>
      <color theme="1"/>
      <sz val="36"/>
      <scheme val="minor"/>
    </font>
    <font>
      <name val="Calibri"/>
      <charset val="162"/>
      <family val="2"/>
      <b val="1"/>
      <color theme="1"/>
      <sz val="38"/>
      <scheme val="minor"/>
    </font>
    <font>
      <name val="Calibri"/>
      <charset val="162"/>
      <family val="2"/>
      <color theme="1"/>
      <sz val="36"/>
      <scheme val="minor"/>
    </font>
    <font>
      <name val="Calibri"/>
      <family val="2"/>
      <color theme="1"/>
      <sz val="38"/>
      <scheme val="minor"/>
    </font>
    <font>
      <name val="Calibri"/>
      <family val="2"/>
      <b val="1"/>
      <color theme="1"/>
      <sz val="38"/>
      <scheme val="minor"/>
    </font>
    <font>
      <name val="Calibri"/>
      <family val="2"/>
      <b val="1"/>
      <color rgb="FF000000"/>
      <sz val="40"/>
      <scheme val="minor"/>
    </font>
    <font>
      <name val="Calibri"/>
      <family val="2"/>
      <color theme="1"/>
      <sz val="42"/>
      <scheme val="minor"/>
    </font>
    <font>
      <name val="Calibri"/>
      <family val="2"/>
      <b val="1"/>
      <color theme="1"/>
      <sz val="42"/>
      <scheme val="minor"/>
    </font>
    <font>
      <name val="Calibri"/>
      <family val="2"/>
      <color rgb="FFFF0000"/>
      <sz val="38"/>
      <scheme val="minor"/>
    </font>
    <font>
      <name val="Calibri"/>
      <family val="2"/>
      <b val="1"/>
      <color rgb="FFFF0000"/>
      <sz val="38"/>
      <scheme val="minor"/>
    </font>
    <font>
      <name val="Calibri"/>
      <charset val="162"/>
      <family val="2"/>
      <color theme="1"/>
      <sz val="38"/>
      <scheme val="minor"/>
    </font>
    <font>
      <name val="Calibri"/>
      <charset val="162"/>
      <family val="2"/>
      <b val="1"/>
      <color theme="1"/>
      <sz val="36"/>
      <scheme val="minor"/>
    </font>
    <font>
      <name val="Calibri"/>
      <charset val="162"/>
      <family val="2"/>
      <color theme="1"/>
      <sz val="40"/>
      <scheme val="minor"/>
    </font>
    <font>
      <name val="Calibri"/>
      <charset val="162"/>
      <family val="2"/>
      <b val="1"/>
      <color theme="1"/>
      <sz val="48"/>
      <scheme val="minor"/>
    </font>
    <font>
      <name val="Calibri"/>
      <charset val="162"/>
      <family val="2"/>
      <b val="1"/>
      <color theme="1"/>
      <sz val="45"/>
      <scheme val="minor"/>
    </font>
    <font>
      <name val="Calibri"/>
      <charset val="162"/>
      <family val="2"/>
      <color theme="1"/>
      <sz val="4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theme="1"/>
      <sz val="26"/>
      <scheme val="minor"/>
    </font>
    <font>
      <name val="Calibri"/>
      <family val="2"/>
      <color theme="1"/>
      <sz val="26"/>
      <scheme val="minor"/>
    </font>
  </fonts>
  <fills count="3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/>
      <bottom/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indexed="64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 tint="0.249977111117893"/>
      </right>
      <top style="medium">
        <color indexed="64"/>
      </top>
      <bottom style="medium">
        <color theme="1" tint="0.249977111117893"/>
      </bottom>
      <diagonal/>
    </border>
    <border>
      <left style="medium">
        <color indexed="64"/>
      </left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medium">
        <color indexed="64"/>
      </left>
      <right/>
      <top style="thin">
        <color theme="1" tint="0.249977111117893"/>
      </top>
      <bottom style="thin">
        <color indexed="64"/>
      </bottom>
      <diagonal/>
    </border>
    <border>
      <left/>
      <right/>
      <top style="thin">
        <color theme="1" tint="0.249977111117893"/>
      </top>
      <bottom style="thin">
        <color indexed="64"/>
      </bottom>
      <diagonal/>
    </border>
    <border>
      <left/>
      <right/>
      <top style="medium">
        <color rgb="FF404040"/>
      </top>
      <bottom style="medium">
        <color rgb="FF40404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404040"/>
      </top>
      <bottom style="medium">
        <color indexed="64"/>
      </bottom>
      <diagonal/>
    </border>
    <border>
      <left style="medium">
        <color rgb="FF404040"/>
      </left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404040"/>
      </left>
      <right/>
      <top style="medium">
        <color rgb="FF404040"/>
      </top>
      <bottom style="medium">
        <color rgb="FF404040"/>
      </bottom>
      <diagonal/>
    </border>
    <border>
      <left/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/>
      <right/>
      <top style="medium">
        <color rgb="FF404040"/>
      </top>
      <bottom style="medium">
        <color indexed="64"/>
      </bottom>
      <diagonal/>
    </border>
    <border>
      <left/>
      <right style="medium">
        <color indexed="64"/>
      </right>
      <top style="medium">
        <color rgb="FF40404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404040"/>
      </left>
      <right/>
      <top style="medium">
        <color rgb="FF404040"/>
      </top>
      <bottom style="medium">
        <color indexed="64"/>
      </bottom>
      <diagonal/>
    </border>
    <border>
      <left/>
      <right style="medium">
        <color rgb="FF404040"/>
      </right>
      <top/>
      <bottom style="medium">
        <color rgb="FF40404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404040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404040"/>
      </top>
      <bottom style="medium">
        <color rgb="FF40404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404040"/>
      </right>
      <top style="medium">
        <color rgb="FF404040"/>
      </top>
      <bottom/>
      <diagonal/>
    </border>
    <border>
      <left/>
      <right/>
      <top style="medium">
        <color rgb="FF404040"/>
      </top>
      <bottom/>
      <diagonal/>
    </border>
    <border>
      <left/>
      <right/>
      <top/>
      <bottom style="medium">
        <color rgb="FF404040"/>
      </bottom>
      <diagonal/>
    </border>
    <border>
      <left/>
      <right style="medium">
        <color rgb="FF404040"/>
      </right>
      <top/>
      <bottom/>
      <diagonal/>
    </border>
    <border>
      <left/>
      <right style="medium">
        <color rgb="FF000000"/>
      </right>
      <top style="medium">
        <color rgb="FF40404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404040"/>
      </bottom>
      <diagonal/>
    </border>
    <border>
      <left/>
      <right style="medium">
        <color rgb="FF000000"/>
      </right>
      <top style="medium">
        <color indexed="64"/>
      </top>
      <bottom style="medium">
        <color rgb="FF404040"/>
      </bottom>
      <diagonal/>
    </border>
    <border>
      <left style="medium">
        <color rgb="FF404040"/>
      </left>
      <right/>
      <top style="medium">
        <color indexed="64"/>
      </top>
      <bottom style="medium">
        <color rgb="FF404040"/>
      </bottom>
      <diagonal/>
    </border>
    <border>
      <left/>
      <right/>
      <top style="medium">
        <color indexed="64"/>
      </top>
      <bottom style="medium">
        <color rgb="FF404040"/>
      </bottom>
      <diagonal/>
    </border>
    <border>
      <left/>
      <right style="medium">
        <color rgb="FF404040"/>
      </right>
      <top style="medium">
        <color indexed="64"/>
      </top>
      <bottom style="medium">
        <color rgb="FF404040"/>
      </bottom>
      <diagonal/>
    </border>
    <border>
      <left style="medium">
        <color rgb="FF000000"/>
      </left>
      <right/>
      <top style="medium">
        <color rgb="FF40404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/>
      <right style="thin">
        <color indexed="64"/>
      </right>
      <top style="medium">
        <color theme="1" tint="0.249977111117893"/>
      </top>
      <bottom/>
      <diagonal/>
    </border>
    <border>
      <left/>
      <right style="thin">
        <color indexed="64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indexed="64"/>
      </top>
      <bottom style="thin">
        <color indexed="64"/>
      </bottom>
      <diagonal/>
    </border>
    <border>
      <left/>
      <right style="medium">
        <color theme="1" tint="0.249977111117893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40404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404040"/>
      </left>
      <right style="medium">
        <color rgb="FF404040"/>
      </right>
      <top style="medium">
        <color indexed="64"/>
      </top>
      <bottom style="medium">
        <color rgb="FF404040"/>
      </bottom>
      <diagonal/>
    </border>
    <border>
      <left/>
      <right style="medium">
        <color rgb="FF40404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404040"/>
      </top>
      <bottom style="medium">
        <color indexed="64"/>
      </bottom>
      <diagonal/>
    </border>
    <border>
      <left/>
      <right style="medium">
        <color rgb="FF000000"/>
      </right>
      <top style="medium">
        <color rgb="FF404040"/>
      </top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medium">
        <color indexed="64"/>
      </left>
      <right style="medium">
        <color indexed="64"/>
      </right>
      <top style="medium">
        <color rgb="FF404040"/>
      </top>
      <bottom style="medium">
        <color indexed="64"/>
      </bottom>
      <diagonal/>
    </border>
    <border>
      <left/>
      <right style="medium">
        <color indexed="64"/>
      </right>
      <top style="medium">
        <color rgb="FF40404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40404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662">
    <xf numFmtId="0" fontId="0" fillId="0" borderId="0" pivotButton="0" quotePrefix="0" xfId="0"/>
    <xf numFmtId="0" fontId="0" fillId="0" borderId="29" applyAlignment="1" pivotButton="0" quotePrefix="0" xfId="0">
      <alignment vertical="center"/>
    </xf>
    <xf numFmtId="0" fontId="0" fillId="0" borderId="52" applyAlignment="1" pivotButton="0" quotePrefix="0" xfId="0">
      <alignment vertical="center"/>
    </xf>
    <xf numFmtId="0" fontId="0" fillId="0" borderId="22" applyAlignment="1" pivotButton="0" quotePrefix="0" xfId="0">
      <alignment horizontal="center"/>
    </xf>
    <xf numFmtId="0" fontId="0" fillId="0" borderId="53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4" fontId="0" fillId="0" borderId="50" applyAlignment="1" pivotButton="0" quotePrefix="0" xfId="0">
      <alignment vertical="center"/>
    </xf>
    <xf numFmtId="14" fontId="0" fillId="0" borderId="2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24" applyAlignment="1" pivotButton="0" quotePrefix="0" xfId="0">
      <alignment horizontal="center" vertical="center"/>
    </xf>
    <xf numFmtId="0" fontId="3" fillId="16" borderId="0" pivotButton="0" quotePrefix="0" xfId="0"/>
    <xf numFmtId="0" fontId="0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2" fillId="0" borderId="0" pivotButton="0" quotePrefix="0" xfId="0"/>
    <xf numFmtId="0" fontId="9" fillId="16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0" fontId="9" fillId="0" borderId="26" applyAlignment="1" pivotButton="0" quotePrefix="0" xfId="0">
      <alignment vertical="center"/>
    </xf>
    <xf numFmtId="0" fontId="9" fillId="16" borderId="17" pivotButton="0" quotePrefix="0" xfId="0"/>
    <xf numFmtId="0" fontId="9" fillId="16" borderId="26" pivotButton="0" quotePrefix="0" xfId="0"/>
    <xf numFmtId="0" fontId="9" fillId="0" borderId="3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2" fillId="0" borderId="0" pivotButton="0" quotePrefix="0" xfId="0"/>
    <xf numFmtId="0" fontId="10" fillId="2" borderId="39" applyAlignment="1" pivotButton="0" quotePrefix="0" xfId="0">
      <alignment horizontal="center" vertical="center"/>
    </xf>
    <xf numFmtId="0" fontId="10" fillId="19" borderId="80" applyAlignment="1" pivotButton="0" quotePrefix="0" xfId="0">
      <alignment vertical="center"/>
    </xf>
    <xf numFmtId="0" fontId="10" fillId="19" borderId="69" applyAlignment="1" pivotButton="0" quotePrefix="0" xfId="0">
      <alignment vertical="center"/>
    </xf>
    <xf numFmtId="0" fontId="13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60" applyAlignment="1" pivotButton="0" quotePrefix="0" xfId="0">
      <alignment horizontal="center" vertical="center"/>
    </xf>
    <xf numFmtId="0" fontId="10" fillId="0" borderId="63" applyAlignment="1" pivotButton="0" quotePrefix="0" xfId="0">
      <alignment vertical="center"/>
    </xf>
    <xf numFmtId="0" fontId="10" fillId="0" borderId="64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23" borderId="11" applyAlignment="1" pivotButton="0" quotePrefix="0" xfId="0">
      <alignment vertical="center"/>
    </xf>
    <xf numFmtId="0" fontId="10" fillId="0" borderId="48" applyAlignment="1" pivotButton="0" quotePrefix="0" xfId="0">
      <alignment horizontal="center" vertical="center"/>
    </xf>
    <xf numFmtId="0" fontId="10" fillId="24" borderId="57" applyAlignment="1" pivotButton="0" quotePrefix="0" xfId="0">
      <alignment horizontal="center" vertical="center"/>
    </xf>
    <xf numFmtId="0" fontId="10" fillId="19" borderId="69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39" applyAlignment="1" pivotButton="0" quotePrefix="0" xfId="0">
      <alignment vertical="center"/>
    </xf>
    <xf numFmtId="0" fontId="10" fillId="0" borderId="19" applyAlignment="1" pivotButton="0" quotePrefix="0" xfId="0">
      <alignment vertical="center"/>
    </xf>
    <xf numFmtId="0" fontId="10" fillId="0" borderId="57" applyAlignment="1" pivotButton="0" quotePrefix="0" xfId="0">
      <alignment horizontal="center" vertical="center"/>
    </xf>
    <xf numFmtId="0" fontId="10" fillId="9" borderId="25" applyAlignment="1" pivotButton="0" quotePrefix="0" xfId="0">
      <alignment vertical="center"/>
    </xf>
    <xf numFmtId="0" fontId="10" fillId="9" borderId="81" applyAlignment="1" pivotButton="0" quotePrefix="0" xfId="0">
      <alignment vertical="center"/>
    </xf>
    <xf numFmtId="0" fontId="13" fillId="9" borderId="0" applyAlignment="1" pivotButton="0" quotePrefix="0" xfId="0">
      <alignment horizontal="center" vertical="center"/>
    </xf>
    <xf numFmtId="0" fontId="13" fillId="9" borderId="19" applyAlignment="1" pivotButton="0" quotePrefix="0" xfId="0">
      <alignment horizontal="center" vertical="center"/>
    </xf>
    <xf numFmtId="0" fontId="13" fillId="2" borderId="76" applyAlignment="1" pivotButton="0" quotePrefix="0" xfId="0">
      <alignment horizontal="center" vertical="center"/>
    </xf>
    <xf numFmtId="0" fontId="10" fillId="0" borderId="24" applyAlignment="1" pivotButton="0" quotePrefix="0" xfId="0">
      <alignment vertical="center"/>
    </xf>
    <xf numFmtId="0" fontId="13" fillId="0" borderId="35" applyAlignment="1" pivotButton="0" quotePrefix="0" xfId="0">
      <alignment horizontal="center" vertical="center"/>
    </xf>
    <xf numFmtId="0" fontId="13" fillId="0" borderId="35" applyAlignment="1" pivotButton="0" quotePrefix="0" xfId="0">
      <alignment vertical="center"/>
    </xf>
    <xf numFmtId="0" fontId="10" fillId="2" borderId="57" applyAlignment="1" pivotButton="0" quotePrefix="0" xfId="0">
      <alignment horizontal="center" vertical="center"/>
    </xf>
    <xf numFmtId="0" fontId="13" fillId="0" borderId="11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0" fillId="21" borderId="57" applyAlignment="1" pivotButton="0" quotePrefix="0" xfId="0">
      <alignment horizontal="center" vertical="center"/>
    </xf>
    <xf numFmtId="0" fontId="10" fillId="19" borderId="11" applyAlignment="1" pivotButton="0" quotePrefix="0" xfId="0">
      <alignment horizontal="center" vertical="center"/>
    </xf>
    <xf numFmtId="0" fontId="13" fillId="2" borderId="56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0" fillId="23" borderId="14" applyAlignment="1" pivotButton="0" quotePrefix="0" xfId="0">
      <alignment vertical="center"/>
    </xf>
    <xf numFmtId="0" fontId="10" fillId="0" borderId="22" applyAlignment="1" pivotButton="0" quotePrefix="0" xfId="0">
      <alignment horizontal="center" vertical="center"/>
    </xf>
    <xf numFmtId="0" fontId="13" fillId="2" borderId="24" applyAlignment="1" pivotButton="0" quotePrefix="0" xfId="0">
      <alignment horizontal="center" vertical="center"/>
    </xf>
    <xf numFmtId="0" fontId="13" fillId="2" borderId="48" applyAlignment="1" pivotButton="0" quotePrefix="0" xfId="0">
      <alignment horizontal="center" vertical="center"/>
    </xf>
    <xf numFmtId="0" fontId="13" fillId="2" borderId="35" applyAlignment="1" pivotButton="0" quotePrefix="0" xfId="0">
      <alignment horizontal="center" vertical="center"/>
    </xf>
    <xf numFmtId="0" fontId="10" fillId="0" borderId="65" applyAlignment="1" pivotButton="0" quotePrefix="0" xfId="0">
      <alignment vertical="center"/>
    </xf>
    <xf numFmtId="0" fontId="13" fillId="0" borderId="49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0" fillId="0" borderId="49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10" fillId="23" borderId="49" applyAlignment="1" pivotButton="0" quotePrefix="0" xfId="0">
      <alignment vertical="center"/>
    </xf>
    <xf numFmtId="0" fontId="10" fillId="23" borderId="12" applyAlignment="1" pivotButton="0" quotePrefix="0" xfId="0">
      <alignment vertical="center"/>
    </xf>
    <xf numFmtId="0" fontId="10" fillId="2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horizontal="center" vertical="center"/>
    </xf>
    <xf numFmtId="0" fontId="13" fillId="23" borderId="0" applyAlignment="1" pivotButton="0" quotePrefix="0" xfId="0">
      <alignment vertical="center"/>
    </xf>
    <xf numFmtId="0" fontId="3" fillId="16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/>
    </xf>
    <xf numFmtId="0" fontId="5" fillId="6" borderId="0" pivotButton="0" quotePrefix="0" xfId="0"/>
    <xf numFmtId="0" fontId="17" fillId="0" borderId="48" applyAlignment="1" pivotButton="0" quotePrefix="0" xfId="0">
      <alignment horizontal="center" vertical="center"/>
    </xf>
    <xf numFmtId="0" fontId="18" fillId="0" borderId="74" applyAlignment="1" pivotButton="0" quotePrefix="0" xfId="0">
      <alignment horizontal="center" vertical="center"/>
    </xf>
    <xf numFmtId="0" fontId="18" fillId="25" borderId="74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/>
    </xf>
    <xf numFmtId="0" fontId="8" fillId="2" borderId="24" applyAlignment="1" pivotButton="0" quotePrefix="0" xfId="0">
      <alignment horizontal="center"/>
    </xf>
    <xf numFmtId="0" fontId="19" fillId="25" borderId="22" pivotButton="0" quotePrefix="0" xfId="0"/>
    <xf numFmtId="0" fontId="18" fillId="2" borderId="48" applyAlignment="1" pivotButton="0" quotePrefix="0" xfId="0">
      <alignment horizontal="center" vertical="center"/>
    </xf>
    <xf numFmtId="0" fontId="17" fillId="0" borderId="36" applyAlignment="1" pivotButton="0" quotePrefix="0" xfId="0">
      <alignment horizontal="center" vertical="center"/>
    </xf>
    <xf numFmtId="0" fontId="17" fillId="0" borderId="37" applyAlignment="1" pivotButton="0" quotePrefix="0" xfId="0">
      <alignment horizontal="center" vertical="center"/>
    </xf>
    <xf numFmtId="0" fontId="17" fillId="0" borderId="38" applyAlignment="1" pivotButton="0" quotePrefix="0" xfId="0">
      <alignment horizontal="center" vertical="center"/>
    </xf>
    <xf numFmtId="0" fontId="17" fillId="12" borderId="21" pivotButton="0" quotePrefix="0" xfId="0"/>
    <xf numFmtId="0" fontId="17" fillId="0" borderId="40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35" applyAlignment="1" pivotButton="0" quotePrefix="0" xfId="0">
      <alignment horizontal="center" vertical="center"/>
    </xf>
    <xf numFmtId="0" fontId="16" fillId="9" borderId="28" pivotButton="0" quotePrefix="0" xfId="0"/>
    <xf numFmtId="0" fontId="16" fillId="0" borderId="5" pivotButton="0" quotePrefix="0" xfId="0"/>
    <xf numFmtId="0" fontId="16" fillId="9" borderId="4" pivotButton="0" quotePrefix="0" xfId="0"/>
    <xf numFmtId="0" fontId="18" fillId="16" borderId="32" pivotButton="0" quotePrefix="0" xfId="0"/>
    <xf numFmtId="0" fontId="18" fillId="16" borderId="33" pivotButton="0" quotePrefix="0" xfId="0"/>
    <xf numFmtId="0" fontId="20" fillId="0" borderId="0" pivotButton="0" quotePrefix="0" xfId="0"/>
    <xf numFmtId="0" fontId="18" fillId="12" borderId="0" applyAlignment="1" pivotButton="0" quotePrefix="0" xfId="0">
      <alignment horizontal="center" vertical="center"/>
    </xf>
    <xf numFmtId="0" fontId="18" fillId="8" borderId="30" applyAlignment="1" pivotButton="0" quotePrefix="0" xfId="0">
      <alignment horizontal="center" vertical="center"/>
    </xf>
    <xf numFmtId="0" fontId="18" fillId="8" borderId="31" applyAlignment="1" pivotButton="0" quotePrefix="0" xfId="0">
      <alignment horizontal="center" vertical="center"/>
    </xf>
    <xf numFmtId="0" fontId="18" fillId="8" borderId="42" applyAlignment="1" pivotButton="0" quotePrefix="0" xfId="0">
      <alignment horizontal="center" vertical="center"/>
    </xf>
    <xf numFmtId="0" fontId="18" fillId="6" borderId="43" applyAlignment="1" pivotButton="0" quotePrefix="0" xfId="0">
      <alignment horizontal="center" vertical="center"/>
    </xf>
    <xf numFmtId="0" fontId="4" fillId="16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6" borderId="22" applyAlignment="1" pivotButton="0" quotePrefix="0" xfId="0">
      <alignment vertical="center"/>
    </xf>
    <xf numFmtId="0" fontId="21" fillId="6" borderId="0" applyAlignment="1" pivotButton="0" quotePrefix="0" xfId="0">
      <alignment vertical="center"/>
    </xf>
    <xf numFmtId="0" fontId="23" fillId="10" borderId="6" applyAlignment="1" pivotButton="0" quotePrefix="0" xfId="0">
      <alignment horizontal="center" vertical="center"/>
    </xf>
    <xf numFmtId="0" fontId="23" fillId="6" borderId="6" applyAlignment="1" pivotButton="0" quotePrefix="0" xfId="0">
      <alignment vertical="center"/>
    </xf>
    <xf numFmtId="0" fontId="23" fillId="6" borderId="3" applyAlignment="1" pivotButton="0" quotePrefix="0" xfId="0">
      <alignment vertical="center"/>
    </xf>
    <xf numFmtId="0" fontId="23" fillId="0" borderId="3" applyAlignment="1" pivotButton="0" quotePrefix="0" xfId="0">
      <alignment horizontal="center" vertical="center"/>
    </xf>
    <xf numFmtId="0" fontId="23" fillId="27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3" fillId="0" borderId="3" applyAlignment="1" pivotButton="0" quotePrefix="0" xfId="0">
      <alignment horizontal="center"/>
    </xf>
    <xf numFmtId="0" fontId="23" fillId="6" borderId="3" pivotButton="0" quotePrefix="0" xfId="0"/>
    <xf numFmtId="0" fontId="24" fillId="6" borderId="3" pivotButton="0" quotePrefix="0" xfId="0"/>
    <xf numFmtId="0" fontId="24" fillId="6" borderId="6" pivotButton="0" quotePrefix="0" xfId="0"/>
    <xf numFmtId="0" fontId="23" fillId="0" borderId="6" applyAlignment="1" pivotButton="0" quotePrefix="0" xfId="0">
      <alignment horizontal="center"/>
    </xf>
    <xf numFmtId="0" fontId="23" fillId="16" borderId="0" pivotButton="0" quotePrefix="0" xfId="0"/>
    <xf numFmtId="0" fontId="24" fillId="6" borderId="9" pivotButton="0" quotePrefix="0" xfId="0"/>
    <xf numFmtId="0" fontId="23" fillId="0" borderId="9" applyAlignment="1" pivotButton="0" quotePrefix="0" xfId="0">
      <alignment horizontal="center"/>
    </xf>
    <xf numFmtId="0" fontId="23" fillId="6" borderId="6" pivotButton="0" quotePrefix="0" xfId="0"/>
    <xf numFmtId="0" fontId="23" fillId="6" borderId="9" pivotButton="0" quotePrefix="0" xfId="0"/>
    <xf numFmtId="0" fontId="24" fillId="0" borderId="0" pivotButton="0" quotePrefix="0" xfId="0"/>
    <xf numFmtId="0" fontId="23" fillId="16" borderId="0" applyAlignment="1" pivotButton="0" quotePrefix="0" xfId="0">
      <alignment horizontal="center"/>
    </xf>
    <xf numFmtId="0" fontId="24" fillId="16" borderId="0" pivotButton="0" quotePrefix="0" xfId="0"/>
    <xf numFmtId="0" fontId="23" fillId="6" borderId="0" pivotButton="0" quotePrefix="0" xfId="0"/>
    <xf numFmtId="0" fontId="24" fillId="6" borderId="0" applyAlignment="1" pivotButton="0" quotePrefix="0" xfId="0">
      <alignment vertical="center"/>
    </xf>
    <xf numFmtId="0" fontId="24" fillId="6" borderId="3" applyAlignment="1" pivotButton="0" quotePrefix="0" xfId="0">
      <alignment vertical="center"/>
    </xf>
    <xf numFmtId="0" fontId="22" fillId="12" borderId="0" pivotButton="0" quotePrefix="0" xfId="0"/>
    <xf numFmtId="0" fontId="25" fillId="12" borderId="0" pivotButton="0" quotePrefix="0" xfId="0"/>
    <xf numFmtId="0" fontId="22" fillId="16" borderId="33" pivotButton="0" quotePrefix="0" xfId="0"/>
    <xf numFmtId="0" fontId="22" fillId="16" borderId="34" pivotButton="0" quotePrefix="0" xfId="0"/>
    <xf numFmtId="0" fontId="22" fillId="16" borderId="17" pivotButton="0" quotePrefix="0" xfId="0"/>
    <xf numFmtId="0" fontId="22" fillId="16" borderId="17" applyAlignment="1" pivotButton="0" quotePrefix="0" xfId="0">
      <alignment vertical="center"/>
    </xf>
    <xf numFmtId="0" fontId="27" fillId="2" borderId="7" pivotButton="0" quotePrefix="0" xfId="0"/>
    <xf numFmtId="0" fontId="27" fillId="2" borderId="8" pivotButton="0" quotePrefix="0" xfId="0"/>
    <xf numFmtId="0" fontId="27" fillId="2" borderId="1" pivotButton="0" quotePrefix="0" xfId="0"/>
    <xf numFmtId="0" fontId="27" fillId="2" borderId="2" pivotButton="0" quotePrefix="0" xfId="0"/>
    <xf numFmtId="0" fontId="27" fillId="0" borderId="32" pivotButton="0" quotePrefix="0" xfId="0"/>
    <xf numFmtId="0" fontId="27" fillId="0" borderId="34" pivotButton="0" quotePrefix="0" xfId="0"/>
    <xf numFmtId="0" fontId="27" fillId="2" borderId="16" pivotButton="0" quotePrefix="0" xfId="0"/>
    <xf numFmtId="0" fontId="27" fillId="2" borderId="26" pivotButton="0" quotePrefix="0" xfId="0"/>
    <xf numFmtId="0" fontId="27" fillId="0" borderId="16" pivotButton="0" quotePrefix="0" xfId="0"/>
    <xf numFmtId="0" fontId="27" fillId="0" borderId="26" pivotButton="0" quotePrefix="0" xfId="0"/>
    <xf numFmtId="0" fontId="27" fillId="0" borderId="1" pivotButton="0" quotePrefix="0" xfId="0"/>
    <xf numFmtId="0" fontId="27" fillId="0" borderId="2" pivotButton="0" quotePrefix="0" xfId="0"/>
    <xf numFmtId="0" fontId="24" fillId="0" borderId="3" applyAlignment="1" pivotButton="0" quotePrefix="0" xfId="0">
      <alignment horizontal="center"/>
    </xf>
    <xf numFmtId="0" fontId="24" fillId="0" borderId="3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/>
    </xf>
    <xf numFmtId="0" fontId="23" fillId="2" borderId="3" applyAlignment="1" pivotButton="0" quotePrefix="0" xfId="0">
      <alignment vertical="center"/>
    </xf>
    <xf numFmtId="0" fontId="24" fillId="0" borderId="6" applyAlignment="1" pivotButton="0" quotePrefix="0" xfId="0">
      <alignment horizontal="center"/>
    </xf>
    <xf numFmtId="0" fontId="23" fillId="25" borderId="6" applyAlignment="1" pivotButton="0" quotePrefix="0" xfId="0">
      <alignment vertical="center"/>
    </xf>
    <xf numFmtId="0" fontId="28" fillId="0" borderId="54" applyAlignment="1" pivotButton="0" quotePrefix="0" xfId="0">
      <alignment horizontal="center"/>
    </xf>
    <xf numFmtId="0" fontId="29" fillId="0" borderId="3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/>
    </xf>
    <xf numFmtId="0" fontId="28" fillId="0" borderId="45" applyAlignment="1" pivotButton="0" quotePrefix="0" xfId="0">
      <alignment horizontal="center"/>
    </xf>
    <xf numFmtId="0" fontId="29" fillId="0" borderId="74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/>
    </xf>
    <xf numFmtId="0" fontId="31" fillId="0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/>
    </xf>
    <xf numFmtId="0" fontId="31" fillId="0" borderId="6" applyAlignment="1" pivotButton="0" quotePrefix="0" xfId="0">
      <alignment horizontal="center"/>
    </xf>
    <xf numFmtId="0" fontId="25" fillId="2" borderId="24" applyAlignment="1" pivotButton="0" quotePrefix="0" xfId="0">
      <alignment horizontal="center" vertical="center"/>
    </xf>
    <xf numFmtId="0" fontId="28" fillId="0" borderId="55" pivotButton="0" quotePrefix="0" xfId="0"/>
    <xf numFmtId="0" fontId="29" fillId="0" borderId="73" applyAlignment="1" pivotButton="0" quotePrefix="0" xfId="0">
      <alignment horizontal="center" vertical="center"/>
    </xf>
    <xf numFmtId="0" fontId="28" fillId="0" borderId="17" pivotButton="0" quotePrefix="0" xfId="0"/>
    <xf numFmtId="0" fontId="28" fillId="0" borderId="41" pivotButton="0" quotePrefix="0" xfId="0"/>
    <xf numFmtId="0" fontId="29" fillId="0" borderId="75" applyAlignment="1" pivotButton="0" quotePrefix="0" xfId="0">
      <alignment horizontal="center" vertical="center"/>
    </xf>
    <xf numFmtId="0" fontId="33" fillId="0" borderId="41" pivotButton="0" quotePrefix="0" xfId="0"/>
    <xf numFmtId="0" fontId="34" fillId="0" borderId="74" applyAlignment="1" pivotButton="0" quotePrefix="0" xfId="0">
      <alignment horizontal="center" vertical="center"/>
    </xf>
    <xf numFmtId="0" fontId="35" fillId="2" borderId="7" pivotButton="0" quotePrefix="0" xfId="0"/>
    <xf numFmtId="0" fontId="26" fillId="0" borderId="3" applyAlignment="1" pivotButton="0" quotePrefix="0" xfId="0">
      <alignment horizontal="center" vertical="center"/>
    </xf>
    <xf numFmtId="0" fontId="35" fillId="2" borderId="1" pivotButton="0" quotePrefix="0" xfId="0"/>
    <xf numFmtId="0" fontId="35" fillId="0" borderId="32" pivotButton="0" quotePrefix="0" xfId="0"/>
    <xf numFmtId="0" fontId="35" fillId="2" borderId="16" pivotButton="0" quotePrefix="0" xfId="0"/>
    <xf numFmtId="0" fontId="35" fillId="0" borderId="16" pivotButton="0" quotePrefix="0" xfId="0"/>
    <xf numFmtId="0" fontId="35" fillId="0" borderId="1" pivotButton="0" quotePrefix="0" xfId="0"/>
    <xf numFmtId="0" fontId="35" fillId="9" borderId="4" pivotButton="0" quotePrefix="0" xfId="0"/>
    <xf numFmtId="0" fontId="26" fillId="9" borderId="0" applyAlignment="1" pivotButton="0" quotePrefix="0" xfId="0">
      <alignment horizontal="center"/>
    </xf>
    <xf numFmtId="0" fontId="26" fillId="9" borderId="5" applyAlignment="1" pivotButton="0" quotePrefix="0" xfId="0">
      <alignment horizontal="center"/>
    </xf>
    <xf numFmtId="0" fontId="27" fillId="0" borderId="29" applyAlignment="1" pivotButton="0" quotePrefix="0" xfId="0">
      <alignment vertical="center"/>
    </xf>
    <xf numFmtId="0" fontId="27" fillId="0" borderId="29" applyAlignment="1" pivotButton="0" quotePrefix="0" xfId="0">
      <alignment horizontal="center" vertical="center"/>
    </xf>
    <xf numFmtId="0" fontId="36" fillId="3" borderId="36" applyAlignment="1" pivotButton="0" quotePrefix="0" xfId="0">
      <alignment horizontal="center" vertical="center"/>
    </xf>
    <xf numFmtId="0" fontId="36" fillId="3" borderId="37" applyAlignment="1" pivotButton="0" quotePrefix="0" xfId="0">
      <alignment horizontal="center" vertical="center"/>
    </xf>
    <xf numFmtId="0" fontId="36" fillId="3" borderId="38" applyAlignment="1" pivotButton="0" quotePrefix="0" xfId="0">
      <alignment horizontal="center" vertical="center"/>
    </xf>
    <xf numFmtId="0" fontId="36" fillId="12" borderId="21" pivotButton="0" quotePrefix="0" xfId="0"/>
    <xf numFmtId="0" fontId="36" fillId="7" borderId="36" applyAlignment="1" pivotButton="0" quotePrefix="0" xfId="0">
      <alignment horizontal="center" vertical="center"/>
    </xf>
    <xf numFmtId="0" fontId="36" fillId="7" borderId="37" applyAlignment="1" pivotButton="0" quotePrefix="0" xfId="0">
      <alignment horizontal="center" vertical="center"/>
    </xf>
    <xf numFmtId="0" fontId="36" fillId="7" borderId="40" applyAlignment="1" pivotButton="0" quotePrefix="0" xfId="0">
      <alignment horizontal="center" vertical="center"/>
    </xf>
    <xf numFmtId="0" fontId="36" fillId="8" borderId="37" applyAlignment="1" pivotButton="0" quotePrefix="0" xfId="0">
      <alignment horizontal="center" vertical="center"/>
    </xf>
    <xf numFmtId="0" fontId="36" fillId="8" borderId="40" applyAlignment="1" pivotButton="0" quotePrefix="0" xfId="0">
      <alignment horizontal="center" vertical="center"/>
    </xf>
    <xf numFmtId="0" fontId="36" fillId="10" borderId="48" applyAlignment="1" pivotButton="0" quotePrefix="0" xfId="0">
      <alignment horizontal="center" vertical="center"/>
    </xf>
    <xf numFmtId="0" fontId="36" fillId="10" borderId="14" applyAlignment="1" pivotButton="0" quotePrefix="0" xfId="0">
      <alignment horizontal="center" vertical="center"/>
    </xf>
    <xf numFmtId="0" fontId="36" fillId="12" borderId="21" applyAlignment="1" pivotButton="0" quotePrefix="0" xfId="0">
      <alignment horizontal="center" vertical="center"/>
    </xf>
    <xf numFmtId="0" fontId="36" fillId="17" borderId="36" applyAlignment="1" pivotButton="0" quotePrefix="0" xfId="0">
      <alignment horizontal="center" vertical="center"/>
    </xf>
    <xf numFmtId="0" fontId="36" fillId="17" borderId="35" applyAlignment="1" pivotButton="0" quotePrefix="0" xfId="0">
      <alignment horizontal="center" vertical="center"/>
    </xf>
    <xf numFmtId="0" fontId="36" fillId="12" borderId="25" applyAlignment="1" pivotButton="0" quotePrefix="0" xfId="0">
      <alignment horizontal="center" vertical="center"/>
    </xf>
    <xf numFmtId="0" fontId="36" fillId="14" borderId="3" applyAlignment="1" pivotButton="0" quotePrefix="0" xfId="0">
      <alignment horizontal="center" vertical="center"/>
    </xf>
    <xf numFmtId="0" fontId="27" fillId="11" borderId="72" applyAlignment="1" pivotButton="0" quotePrefix="0" xfId="0">
      <alignment vertical="center"/>
    </xf>
    <xf numFmtId="0" fontId="36" fillId="0" borderId="3" applyAlignment="1" pivotButton="0" quotePrefix="0" xfId="0">
      <alignment horizontal="center" vertical="center"/>
    </xf>
    <xf numFmtId="0" fontId="27" fillId="0" borderId="0" pivotButton="0" quotePrefix="0" xfId="0"/>
    <xf numFmtId="0" fontId="25" fillId="16" borderId="0" pivotButton="0" quotePrefix="0" xfId="0"/>
    <xf numFmtId="0" fontId="22" fillId="16" borderId="0" applyAlignment="1" pivotButton="0" quotePrefix="0" xfId="0">
      <alignment horizontal="center" vertical="center"/>
    </xf>
    <xf numFmtId="0" fontId="22" fillId="16" borderId="0" pivotButton="0" quotePrefix="0" xfId="0"/>
    <xf numFmtId="0" fontId="37" fillId="11" borderId="3" applyAlignment="1" pivotButton="0" quotePrefix="0" xfId="0">
      <alignment horizontal="center"/>
    </xf>
    <xf numFmtId="0" fontId="37" fillId="0" borderId="3" pivotButton="0" quotePrefix="0" xfId="0"/>
    <xf numFmtId="0" fontId="23" fillId="0" borderId="16" applyAlignment="1" pivotButton="0" quotePrefix="0" xfId="0">
      <alignment horizontal="center" vertical="center"/>
    </xf>
    <xf numFmtId="0" fontId="23" fillId="4" borderId="16" applyAlignment="1" pivotButton="0" quotePrefix="0" xfId="0">
      <alignment horizontal="center" vertical="center"/>
    </xf>
    <xf numFmtId="0" fontId="16" fillId="0" borderId="90" applyAlignment="1" pivotButton="0" quotePrefix="0" xfId="0">
      <alignment horizontal="center"/>
    </xf>
    <xf numFmtId="0" fontId="16" fillId="0" borderId="93" applyAlignment="1" pivotButton="0" quotePrefix="0" xfId="0">
      <alignment horizontal="center"/>
    </xf>
    <xf numFmtId="0" fontId="16" fillId="4" borderId="93" applyAlignment="1" pivotButton="0" quotePrefix="0" xfId="0">
      <alignment horizontal="center" vertical="center"/>
    </xf>
    <xf numFmtId="0" fontId="37" fillId="0" borderId="73" pivotButton="0" quotePrefix="0" xfId="0"/>
    <xf numFmtId="0" fontId="16" fillId="2" borderId="93" applyAlignment="1" pivotButton="0" quotePrefix="0" xfId="0">
      <alignment horizontal="center"/>
    </xf>
    <xf numFmtId="0" fontId="16" fillId="0" borderId="94" applyAlignment="1" pivotButton="0" quotePrefix="0" xfId="0">
      <alignment horizontal="center"/>
    </xf>
    <xf numFmtId="0" fontId="22" fillId="2" borderId="24" applyAlignment="1" pivotButton="0" quotePrefix="0" xfId="0">
      <alignment horizontal="center"/>
    </xf>
    <xf numFmtId="0" fontId="23" fillId="0" borderId="74" applyAlignment="1" pivotButton="0" quotePrefix="0" xfId="0">
      <alignment horizontal="center" vertical="center"/>
    </xf>
    <xf numFmtId="0" fontId="6" fillId="13" borderId="93" applyAlignment="1" pivotButton="0" quotePrefix="0" xfId="0">
      <alignment horizontal="center" vertical="center"/>
    </xf>
    <xf numFmtId="0" fontId="38" fillId="0" borderId="36" applyAlignment="1" pivotButton="0" quotePrefix="0" xfId="0">
      <alignment horizontal="center" vertical="center"/>
    </xf>
    <xf numFmtId="0" fontId="38" fillId="0" borderId="37" applyAlignment="1" pivotButton="0" quotePrefix="0" xfId="0">
      <alignment horizontal="center" vertical="center"/>
    </xf>
    <xf numFmtId="0" fontId="38" fillId="0" borderId="38" applyAlignment="1" pivotButton="0" quotePrefix="0" xfId="0">
      <alignment horizontal="center" vertical="center"/>
    </xf>
    <xf numFmtId="0" fontId="38" fillId="12" borderId="21" pivotButton="0" quotePrefix="0" xfId="0"/>
    <xf numFmtId="0" fontId="38" fillId="0" borderId="40" applyAlignment="1" pivotButton="0" quotePrefix="0" xfId="0">
      <alignment horizontal="center" vertical="center"/>
    </xf>
    <xf numFmtId="0" fontId="38" fillId="0" borderId="48" pivotButton="0" quotePrefix="0" xfId="0"/>
    <xf numFmtId="0" fontId="38" fillId="0" borderId="14" applyAlignment="1" pivotButton="0" quotePrefix="0" xfId="0">
      <alignment horizontal="center" vertical="center"/>
    </xf>
    <xf numFmtId="0" fontId="38" fillId="0" borderId="35" applyAlignment="1" pivotButton="0" quotePrefix="0" xfId="0">
      <alignment horizontal="center" vertical="center"/>
    </xf>
    <xf numFmtId="0" fontId="38" fillId="0" borderId="49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/>
    </xf>
    <xf numFmtId="0" fontId="38" fillId="0" borderId="48" applyAlignment="1" pivotButton="0" quotePrefix="0" xfId="0">
      <alignment horizontal="center" vertical="center"/>
    </xf>
    <xf numFmtId="0" fontId="24" fillId="6" borderId="0" pivotButton="0" quotePrefix="0" xfId="0"/>
    <xf numFmtId="0" fontId="4" fillId="16" borderId="0" pivotButton="0" quotePrefix="0" xfId="0"/>
    <xf numFmtId="0" fontId="39" fillId="12" borderId="21" pivotButton="0" quotePrefix="0" xfId="0"/>
    <xf numFmtId="0" fontId="36" fillId="29" borderId="48" applyAlignment="1" pivotButton="0" quotePrefix="0" xfId="0">
      <alignment horizontal="center" vertical="center"/>
    </xf>
    <xf numFmtId="0" fontId="36" fillId="29" borderId="14" applyAlignment="1" pivotButton="0" quotePrefix="0" xfId="0">
      <alignment horizontal="center" vertical="center"/>
    </xf>
    <xf numFmtId="0" fontId="36" fillId="6" borderId="14" applyAlignment="1" pivotButton="0" quotePrefix="0" xfId="0">
      <alignment horizontal="center" vertical="center"/>
    </xf>
    <xf numFmtId="0" fontId="38" fillId="6" borderId="14" applyAlignment="1" pivotButton="0" quotePrefix="0" xfId="0">
      <alignment horizontal="center" vertical="center"/>
    </xf>
    <xf numFmtId="0" fontId="17" fillId="6" borderId="14" applyAlignment="1" pivotButton="0" quotePrefix="0" xfId="0">
      <alignment horizontal="center" vertical="center"/>
    </xf>
    <xf numFmtId="0" fontId="39" fillId="6" borderId="14" applyAlignment="1" pivotButton="0" quotePrefix="0" xfId="0">
      <alignment horizontal="center" vertical="center"/>
    </xf>
    <xf numFmtId="0" fontId="40" fillId="0" borderId="29" applyAlignment="1" pivotButton="0" quotePrefix="0" xfId="0">
      <alignment vertical="center"/>
    </xf>
    <xf numFmtId="14" fontId="40" fillId="0" borderId="50" applyAlignment="1" pivotButton="0" quotePrefix="0" xfId="0">
      <alignment vertical="center"/>
    </xf>
    <xf numFmtId="0" fontId="38" fillId="6" borderId="14" applyAlignment="1" pivotButton="0" quotePrefix="0" xfId="0">
      <alignment horizontal="center"/>
    </xf>
    <xf numFmtId="0" fontId="40" fillId="11" borderId="27" applyAlignment="1" pivotButton="0" quotePrefix="0" xfId="0">
      <alignment vertical="center"/>
    </xf>
    <xf numFmtId="0" fontId="40" fillId="0" borderId="0" pivotButton="0" quotePrefix="0" xfId="0"/>
    <xf numFmtId="0" fontId="43" fillId="6" borderId="25" applyAlignment="1" pivotButton="0" quotePrefix="0" xfId="0">
      <alignment vertical="center"/>
    </xf>
    <xf numFmtId="0" fontId="43" fillId="8" borderId="24" applyAlignment="1" pivotButton="0" quotePrefix="0" xfId="0">
      <alignment horizontal="center" vertical="center"/>
    </xf>
    <xf numFmtId="0" fontId="44" fillId="6" borderId="0" applyAlignment="1" pivotButton="0" quotePrefix="0" xfId="0">
      <alignment vertical="center"/>
    </xf>
    <xf numFmtId="0" fontId="41" fillId="12" borderId="0" pivotButton="0" quotePrefix="0" xfId="0"/>
    <xf numFmtId="0" fontId="42" fillId="12" borderId="0" pivotButton="0" quotePrefix="0" xfId="0"/>
    <xf numFmtId="0" fontId="42" fillId="0" borderId="0" pivotButton="0" quotePrefix="0" xfId="0"/>
    <xf numFmtId="0" fontId="18" fillId="3" borderId="30" applyAlignment="1" pivotButton="0" quotePrefix="0" xfId="0">
      <alignment horizontal="center" vertical="center"/>
    </xf>
    <xf numFmtId="0" fontId="18" fillId="3" borderId="31" applyAlignment="1" pivotButton="0" quotePrefix="0" xfId="0">
      <alignment horizontal="center" vertical="center"/>
    </xf>
    <xf numFmtId="0" fontId="18" fillId="7" borderId="30" applyAlignment="1" pivotButton="0" quotePrefix="0" xfId="0">
      <alignment horizontal="center" vertical="center"/>
    </xf>
    <xf numFmtId="0" fontId="18" fillId="7" borderId="31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/>
    </xf>
    <xf numFmtId="0" fontId="23" fillId="0" borderId="3" applyAlignment="1" pivotButton="0" quotePrefix="0" xfId="0">
      <alignment horizontal="center"/>
    </xf>
    <xf numFmtId="0" fontId="20" fillId="11" borderId="1" applyAlignment="1" pivotButton="0" quotePrefix="0" xfId="0">
      <alignment horizontal="center" vertical="center"/>
    </xf>
    <xf numFmtId="0" fontId="20" fillId="11" borderId="10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43" fillId="3" borderId="22" applyAlignment="1" pivotButton="0" quotePrefix="0" xfId="0">
      <alignment horizontal="center" vertical="center"/>
    </xf>
    <xf numFmtId="0" fontId="43" fillId="3" borderId="23" applyAlignment="1" pivotButton="0" quotePrefix="0" xfId="0">
      <alignment horizontal="center" vertical="center"/>
    </xf>
    <xf numFmtId="0" fontId="43" fillId="3" borderId="24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/>
    </xf>
    <xf numFmtId="0" fontId="23" fillId="0" borderId="6" applyAlignment="1" pivotButton="0" quotePrefix="0" xfId="0">
      <alignment horizontal="center"/>
    </xf>
    <xf numFmtId="0" fontId="25" fillId="0" borderId="9" applyAlignment="1" pivotButton="0" quotePrefix="0" xfId="0">
      <alignment horizontal="center"/>
    </xf>
    <xf numFmtId="0" fontId="23" fillId="0" borderId="9" applyAlignment="1" pivotButton="0" quotePrefix="0" xfId="0">
      <alignment horizontal="center"/>
    </xf>
    <xf numFmtId="0" fontId="25" fillId="16" borderId="3" applyAlignment="1" pivotButton="0" quotePrefix="0" xfId="0">
      <alignment horizontal="center"/>
    </xf>
    <xf numFmtId="0" fontId="23" fillId="16" borderId="3" applyAlignment="1" pivotButton="0" quotePrefix="0" xfId="0">
      <alignment horizontal="center"/>
    </xf>
    <xf numFmtId="0" fontId="25" fillId="16" borderId="0" applyAlignment="1" pivotButton="0" quotePrefix="0" xfId="0">
      <alignment horizontal="center" vertical="center"/>
    </xf>
    <xf numFmtId="0" fontId="23" fillId="16" borderId="0" applyAlignment="1" pivotButton="0" quotePrefix="0" xfId="0">
      <alignment horizontal="center"/>
    </xf>
    <xf numFmtId="0" fontId="25" fillId="16" borderId="3" applyAlignment="1" pivotButton="0" quotePrefix="0" xfId="0">
      <alignment horizontal="center" vertical="center"/>
    </xf>
    <xf numFmtId="0" fontId="43" fillId="7" borderId="24" applyAlignment="1" pivotButton="0" quotePrefix="0" xfId="0">
      <alignment horizontal="center" vertical="center"/>
    </xf>
    <xf numFmtId="0" fontId="43" fillId="7" borderId="23" applyAlignment="1" pivotButton="0" quotePrefix="0" xfId="0">
      <alignment horizontal="center" vertical="center"/>
    </xf>
    <xf numFmtId="0" fontId="43" fillId="8" borderId="24" applyAlignment="1" pivotButton="0" quotePrefix="0" xfId="0">
      <alignment horizontal="center" vertical="center"/>
    </xf>
    <xf numFmtId="0" fontId="43" fillId="8" borderId="23" applyAlignment="1" pivotButton="0" quotePrefix="0" xfId="0">
      <alignment horizontal="center" vertical="center"/>
    </xf>
    <xf numFmtId="0" fontId="44" fillId="28" borderId="24" applyAlignment="1" pivotButton="0" quotePrefix="0" xfId="0">
      <alignment horizontal="center" vertical="center"/>
    </xf>
    <xf numFmtId="0" fontId="44" fillId="28" borderId="23" applyAlignment="1" pivotButton="0" quotePrefix="0" xfId="0">
      <alignment horizontal="center" vertical="center"/>
    </xf>
    <xf numFmtId="0" fontId="44" fillId="28" borderId="22" applyAlignment="1" pivotButton="0" quotePrefix="0" xfId="0">
      <alignment horizontal="center" vertical="center"/>
    </xf>
    <xf numFmtId="0" fontId="23" fillId="16" borderId="0" applyAlignment="1" pivotButton="0" quotePrefix="0" xfId="0">
      <alignment horizontal="center" vertical="center"/>
    </xf>
    <xf numFmtId="0" fontId="19" fillId="9" borderId="0" applyAlignment="1" pivotButton="0" quotePrefix="0" xfId="0">
      <alignment horizontal="center" vertical="center"/>
    </xf>
    <xf numFmtId="0" fontId="19" fillId="9" borderId="30" applyAlignment="1" pivotButton="0" quotePrefix="0" xfId="0">
      <alignment horizontal="center" vertical="center"/>
    </xf>
    <xf numFmtId="0" fontId="19" fillId="9" borderId="44" applyAlignment="1" pivotButton="0" quotePrefix="0" xfId="0">
      <alignment horizontal="center" vertical="center"/>
    </xf>
    <xf numFmtId="0" fontId="23" fillId="16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16" borderId="3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20" fillId="15" borderId="1" applyAlignment="1" pivotButton="0" quotePrefix="0" xfId="0">
      <alignment horizontal="center" vertical="center"/>
    </xf>
    <xf numFmtId="0" fontId="20" fillId="15" borderId="10" applyAlignment="1" pivotButton="0" quotePrefix="0" xfId="0">
      <alignment horizontal="center" vertical="center"/>
    </xf>
    <xf numFmtId="0" fontId="20" fillId="15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0" fillId="16" borderId="3" applyAlignment="1" pivotButton="0" quotePrefix="0" xfId="0">
      <alignment horizontal="center"/>
    </xf>
    <xf numFmtId="0" fontId="20" fillId="16" borderId="3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  <xf numFmtId="0" fontId="4" fillId="16" borderId="3" applyAlignment="1" pivotButton="0" quotePrefix="0" xfId="0">
      <alignment horizontal="center" vertical="center"/>
    </xf>
    <xf numFmtId="0" fontId="18" fillId="2" borderId="46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8" fillId="2" borderId="95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/>
    </xf>
    <xf numFmtId="0" fontId="30" fillId="0" borderId="16" applyAlignment="1" pivotButton="0" quotePrefix="0" xfId="0">
      <alignment horizontal="center"/>
    </xf>
    <xf numFmtId="0" fontId="30" fillId="0" borderId="17" applyAlignment="1" pivotButton="0" quotePrefix="0" xfId="0">
      <alignment horizontal="center"/>
    </xf>
    <xf numFmtId="0" fontId="30" fillId="0" borderId="26" applyAlignment="1" pivotButton="0" quotePrefix="0" xfId="0">
      <alignment horizontal="center"/>
    </xf>
    <xf numFmtId="0" fontId="38" fillId="7" borderId="22" applyAlignment="1" pivotButton="0" quotePrefix="0" xfId="0">
      <alignment horizontal="center" vertical="center"/>
    </xf>
    <xf numFmtId="0" fontId="38" fillId="7" borderId="0" applyAlignment="1" pivotButton="0" quotePrefix="0" xfId="0">
      <alignment horizontal="center" vertical="center"/>
    </xf>
    <xf numFmtId="0" fontId="38" fillId="8" borderId="22" applyAlignment="1" pivotButton="0" quotePrefix="0" xfId="0">
      <alignment horizontal="center" vertical="center"/>
    </xf>
    <xf numFmtId="0" fontId="38" fillId="8" borderId="0" applyAlignment="1" pivotButton="0" quotePrefix="0" xfId="0">
      <alignment horizontal="center" vertical="center"/>
    </xf>
    <xf numFmtId="0" fontId="36" fillId="9" borderId="22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23" fillId="0" borderId="16" applyAlignment="1" pivotButton="0" quotePrefix="0" xfId="0">
      <alignment horizontal="center"/>
    </xf>
    <xf numFmtId="0" fontId="23" fillId="0" borderId="17" applyAlignment="1" pivotButton="0" quotePrefix="0" xfId="0">
      <alignment horizontal="center"/>
    </xf>
    <xf numFmtId="0" fontId="23" fillId="0" borderId="26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36" fillId="3" borderId="22" applyAlignment="1" pivotButton="0" quotePrefix="0" xfId="0">
      <alignment horizontal="center" vertical="center"/>
    </xf>
    <xf numFmtId="0" fontId="36" fillId="3" borderId="0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/>
    </xf>
    <xf numFmtId="0" fontId="25" fillId="0" borderId="18" applyAlignment="1" pivotButton="0" quotePrefix="0" xfId="0">
      <alignment horizontal="center" vertical="center"/>
    </xf>
    <xf numFmtId="0" fontId="25" fillId="0" borderId="39" applyAlignment="1" pivotButton="0" quotePrefix="0" xfId="0">
      <alignment horizontal="center" vertical="center"/>
    </xf>
    <xf numFmtId="0" fontId="31" fillId="0" borderId="3" applyAlignment="1" pivotButton="0" quotePrefix="0" xfId="0">
      <alignment horizontal="center"/>
    </xf>
    <xf numFmtId="0" fontId="31" fillId="0" borderId="6" applyAlignment="1" pivotButton="0" quotePrefix="0" xfId="0">
      <alignment horizontal="center"/>
    </xf>
    <xf numFmtId="0" fontId="25" fillId="5" borderId="0" applyAlignment="1" pivotButton="0" quotePrefix="0" xfId="0">
      <alignment horizontal="center" vertical="center"/>
    </xf>
    <xf numFmtId="0" fontId="32" fillId="2" borderId="3" applyAlignment="1" pivotButton="0" quotePrefix="0" xfId="0">
      <alignment horizontal="center"/>
    </xf>
    <xf numFmtId="0" fontId="31" fillId="2" borderId="3" applyAlignment="1" pivotButton="0" quotePrefix="0" xfId="0">
      <alignment horizontal="center"/>
    </xf>
    <xf numFmtId="0" fontId="39" fillId="0" borderId="13" applyAlignment="1" pivotButton="0" quotePrefix="0" xfId="0">
      <alignment horizontal="center" vertical="center"/>
    </xf>
    <xf numFmtId="0" fontId="39" fillId="0" borderId="35" applyAlignment="1" pivotButton="0" quotePrefix="0" xfId="0">
      <alignment horizontal="center" vertical="center"/>
    </xf>
    <xf numFmtId="0" fontId="17" fillId="0" borderId="40" applyAlignment="1" pivotButton="0" quotePrefix="0" xfId="0">
      <alignment horizontal="center" vertical="center"/>
    </xf>
    <xf numFmtId="0" fontId="17" fillId="0" borderId="96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0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38" fillId="3" borderId="13" applyAlignment="1" pivotButton="0" quotePrefix="0" xfId="0">
      <alignment horizontal="center"/>
    </xf>
    <xf numFmtId="0" fontId="38" fillId="3" borderId="14" applyAlignment="1" pivotButton="0" quotePrefix="0" xfId="0">
      <alignment horizontal="center"/>
    </xf>
    <xf numFmtId="0" fontId="38" fillId="3" borderId="35" applyAlignment="1" pivotButton="0" quotePrefix="0" xfId="0">
      <alignment horizontal="center"/>
    </xf>
    <xf numFmtId="0" fontId="38" fillId="8" borderId="39" applyAlignment="1" pivotButton="0" quotePrefix="0" xfId="0">
      <alignment horizontal="center"/>
    </xf>
    <xf numFmtId="0" fontId="38" fillId="8" borderId="11" applyAlignment="1" pivotButton="0" quotePrefix="0" xfId="0">
      <alignment horizontal="center"/>
    </xf>
    <xf numFmtId="0" fontId="38" fillId="8" borderId="12" applyAlignment="1" pivotButton="0" quotePrefix="0" xfId="0">
      <alignment horizontal="center"/>
    </xf>
    <xf numFmtId="0" fontId="38" fillId="7" borderId="39" applyAlignment="1" pivotButton="0" quotePrefix="0" xfId="0">
      <alignment horizontal="center"/>
    </xf>
    <xf numFmtId="0" fontId="38" fillId="7" borderId="11" applyAlignment="1" pivotButton="0" quotePrefix="0" xfId="0">
      <alignment horizontal="center"/>
    </xf>
    <xf numFmtId="0" fontId="38" fillId="7" borderId="12" applyAlignment="1" pivotButton="0" quotePrefix="0" xfId="0">
      <alignment horizontal="center"/>
    </xf>
    <xf numFmtId="0" fontId="40" fillId="15" borderId="7" applyAlignment="1" pivotButton="0" quotePrefix="0" xfId="0">
      <alignment horizontal="center"/>
    </xf>
    <xf numFmtId="0" fontId="40" fillId="15" borderId="20" applyAlignment="1" pivotButton="0" quotePrefix="0" xfId="0">
      <alignment horizontal="center"/>
    </xf>
    <xf numFmtId="0" fontId="38" fillId="13" borderId="13" applyAlignment="1" pivotButton="0" quotePrefix="0" xfId="0">
      <alignment horizontal="center"/>
    </xf>
    <xf numFmtId="0" fontId="38" fillId="13" borderId="35" applyAlignment="1" pivotButton="0" quotePrefix="0" xfId="0">
      <alignment horizontal="center"/>
    </xf>
    <xf numFmtId="0" fontId="38" fillId="9" borderId="24" applyAlignment="1" pivotButton="0" quotePrefix="0" xfId="0">
      <alignment horizontal="center"/>
    </xf>
    <xf numFmtId="0" fontId="38" fillId="9" borderId="23" applyAlignment="1" pivotButton="0" quotePrefix="0" xfId="0">
      <alignment horizontal="center"/>
    </xf>
    <xf numFmtId="0" fontId="38" fillId="17" borderId="13" applyAlignment="1" pivotButton="0" quotePrefix="0" xfId="0">
      <alignment horizontal="center"/>
    </xf>
    <xf numFmtId="0" fontId="38" fillId="17" borderId="35" applyAlignment="1" pivotButton="0" quotePrefix="0" xfId="0">
      <alignment horizontal="center"/>
    </xf>
    <xf numFmtId="0" fontId="38" fillId="29" borderId="13" applyAlignment="1" pivotButton="0" quotePrefix="0" xfId="0">
      <alignment horizontal="center"/>
    </xf>
    <xf numFmtId="0" fontId="38" fillId="29" borderId="35" applyAlignment="1" pivotButton="0" quotePrefix="0" xfId="0">
      <alignment horizontal="center"/>
    </xf>
    <xf numFmtId="0" fontId="39" fillId="0" borderId="13" applyAlignment="1" pivotButton="0" quotePrefix="0" xfId="0">
      <alignment horizontal="center"/>
    </xf>
    <xf numFmtId="0" fontId="39" fillId="0" borderId="35" applyAlignment="1" pivotButton="0" quotePrefix="0" xfId="0">
      <alignment horizontal="center"/>
    </xf>
    <xf numFmtId="0" fontId="39" fillId="0" borderId="14" applyAlignment="1" pivotButton="0" quotePrefix="0" xfId="0">
      <alignment horizontal="center" vertical="center"/>
    </xf>
    <xf numFmtId="0" fontId="22" fillId="7" borderId="30" applyAlignment="1" pivotButton="0" quotePrefix="0" xfId="0">
      <alignment horizontal="center"/>
    </xf>
    <xf numFmtId="0" fontId="22" fillId="7" borderId="31" applyAlignment="1" pivotButton="0" quotePrefix="0" xfId="0">
      <alignment horizontal="center"/>
    </xf>
    <xf numFmtId="0" fontId="22" fillId="8" borderId="30" applyAlignment="1" pivotButton="0" quotePrefix="0" xfId="0">
      <alignment horizontal="center"/>
    </xf>
    <xf numFmtId="0" fontId="22" fillId="8" borderId="31" applyAlignment="1" pivotButton="0" quotePrefix="0" xfId="0">
      <alignment horizontal="center"/>
    </xf>
    <xf numFmtId="0" fontId="22" fillId="8" borderId="42" applyAlignment="1" pivotButton="0" quotePrefix="0" xfId="0">
      <alignment horizontal="center"/>
    </xf>
    <xf numFmtId="0" fontId="22" fillId="8" borderId="43" applyAlignment="1" pivotButton="0" quotePrefix="0" xfId="0">
      <alignment horizontal="center"/>
    </xf>
    <xf numFmtId="0" fontId="22" fillId="9" borderId="30" applyAlignment="1" pivotButton="0" quotePrefix="0" xfId="0">
      <alignment horizontal="center"/>
    </xf>
    <xf numFmtId="0" fontId="22" fillId="9" borderId="31" applyAlignment="1" pivotButton="0" quotePrefix="0" xfId="0">
      <alignment horizontal="center"/>
    </xf>
    <xf numFmtId="0" fontId="1" fillId="13" borderId="30" applyAlignment="1" pivotButton="0" quotePrefix="0" xfId="0">
      <alignment horizontal="center"/>
    </xf>
    <xf numFmtId="0" fontId="1" fillId="13" borderId="44" applyAlignment="1" pivotButton="0" quotePrefix="0" xfId="0">
      <alignment horizontal="center"/>
    </xf>
    <xf numFmtId="0" fontId="1" fillId="13" borderId="31" applyAlignment="1" pivotButton="0" quotePrefix="0" xfId="0">
      <alignment horizontal="center"/>
    </xf>
    <xf numFmtId="0" fontId="1" fillId="15" borderId="30" applyAlignment="1" pivotButton="0" quotePrefix="0" xfId="0">
      <alignment horizontal="center" vertical="center"/>
    </xf>
    <xf numFmtId="0" fontId="1" fillId="15" borderId="44" applyAlignment="1" pivotButton="0" quotePrefix="0" xfId="0">
      <alignment horizontal="center" vertical="center"/>
    </xf>
    <xf numFmtId="0" fontId="1" fillId="15" borderId="31" applyAlignment="1" pivotButton="0" quotePrefix="0" xfId="0">
      <alignment horizontal="center" vertical="center"/>
    </xf>
    <xf numFmtId="0" fontId="22" fillId="0" borderId="3" applyAlignment="1" pivotButton="0" quotePrefix="0" xfId="0">
      <alignment horizontal="center" vertical="center"/>
    </xf>
    <xf numFmtId="0" fontId="19" fillId="0" borderId="3" applyAlignment="1" pivotButton="0" quotePrefix="0" xfId="0">
      <alignment horizontal="center"/>
    </xf>
    <xf numFmtId="0" fontId="42" fillId="13" borderId="0" applyAlignment="1" pivotButton="0" quotePrefix="0" xfId="0">
      <alignment horizontal="center"/>
    </xf>
    <xf numFmtId="0" fontId="41" fillId="3" borderId="42" applyAlignment="1" pivotButton="0" quotePrefix="0" xfId="0">
      <alignment horizontal="center"/>
    </xf>
    <xf numFmtId="0" fontId="41" fillId="3" borderId="43" applyAlignment="1" pivotButton="0" quotePrefix="0" xfId="0">
      <alignment horizontal="center"/>
    </xf>
    <xf numFmtId="0" fontId="41" fillId="3" borderId="30" applyAlignment="1" pivotButton="0" quotePrefix="0" xfId="0">
      <alignment horizontal="center"/>
    </xf>
    <xf numFmtId="0" fontId="41" fillId="3" borderId="31" applyAlignment="1" pivotButton="0" quotePrefix="0" xfId="0">
      <alignment horizontal="center"/>
    </xf>
    <xf numFmtId="0" fontId="22" fillId="0" borderId="9" applyAlignment="1" pivotButton="0" quotePrefix="0" xfId="0">
      <alignment horizontal="center" vertical="center"/>
    </xf>
    <xf numFmtId="0" fontId="19" fillId="0" borderId="16" applyAlignment="1" pivotButton="0" quotePrefix="0" xfId="0">
      <alignment horizontal="center"/>
    </xf>
    <xf numFmtId="0" fontId="19" fillId="0" borderId="17" applyAlignment="1" pivotButton="0" quotePrefix="0" xfId="0">
      <alignment horizontal="center"/>
    </xf>
    <xf numFmtId="0" fontId="19" fillId="0" borderId="26" applyAlignment="1" pivotButton="0" quotePrefix="0" xfId="0">
      <alignment horizontal="center"/>
    </xf>
    <xf numFmtId="0" fontId="19" fillId="0" borderId="6" applyAlignment="1" pivotButton="0" quotePrefix="0" xfId="0">
      <alignment horizontal="center"/>
    </xf>
    <xf numFmtId="0" fontId="22" fillId="0" borderId="6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/>
    </xf>
    <xf numFmtId="0" fontId="22" fillId="0" borderId="9" applyAlignment="1" pivotButton="0" quotePrefix="0" xfId="0">
      <alignment horizontal="center"/>
    </xf>
    <xf numFmtId="0" fontId="22" fillId="0" borderId="16" applyAlignment="1" pivotButton="0" quotePrefix="0" xfId="0">
      <alignment horizontal="center"/>
    </xf>
    <xf numFmtId="0" fontId="22" fillId="0" borderId="26" applyAlignment="1" pivotButton="0" quotePrefix="0" xfId="0">
      <alignment horizontal="center"/>
    </xf>
    <xf numFmtId="0" fontId="22" fillId="0" borderId="3" applyAlignment="1" pivotButton="0" quotePrefix="0" xfId="0">
      <alignment horizontal="center"/>
    </xf>
    <xf numFmtId="0" fontId="22" fillId="3" borderId="42" applyAlignment="1" pivotButton="0" quotePrefix="0" xfId="0">
      <alignment horizontal="center"/>
    </xf>
    <xf numFmtId="0" fontId="22" fillId="3" borderId="43" applyAlignment="1" pivotButton="0" quotePrefix="0" xfId="0">
      <alignment horizontal="center"/>
    </xf>
    <xf numFmtId="0" fontId="22" fillId="3" borderId="30" applyAlignment="1" pivotButton="0" quotePrefix="0" xfId="0">
      <alignment horizontal="center"/>
    </xf>
    <xf numFmtId="0" fontId="22" fillId="3" borderId="31" applyAlignment="1" pivotButton="0" quotePrefix="0" xfId="0">
      <alignment horizontal="center"/>
    </xf>
    <xf numFmtId="0" fontId="18" fillId="16" borderId="16" applyAlignment="1" pivotButton="0" quotePrefix="0" xfId="0">
      <alignment horizontal="center"/>
    </xf>
    <xf numFmtId="0" fontId="18" fillId="16" borderId="17" applyAlignment="1" pivotButton="0" quotePrefix="0" xfId="0">
      <alignment horizontal="center"/>
    </xf>
    <xf numFmtId="0" fontId="18" fillId="16" borderId="51" applyAlignment="1" pivotButton="0" quotePrefix="0" xfId="0">
      <alignment horizontal="center"/>
    </xf>
    <xf numFmtId="0" fontId="41" fillId="7" borderId="30" applyAlignment="1" pivotButton="0" quotePrefix="0" xfId="0">
      <alignment horizontal="center"/>
    </xf>
    <xf numFmtId="0" fontId="41" fillId="7" borderId="31" applyAlignment="1" pivotButton="0" quotePrefix="0" xfId="0">
      <alignment horizontal="center"/>
    </xf>
    <xf numFmtId="0" fontId="22" fillId="0" borderId="16" applyAlignment="1" pivotButton="0" quotePrefix="0" xfId="0">
      <alignment horizontal="center" vertical="center"/>
    </xf>
    <xf numFmtId="0" fontId="22" fillId="0" borderId="26" applyAlignment="1" pivotButton="0" quotePrefix="0" xfId="0">
      <alignment horizontal="center" vertical="center"/>
    </xf>
    <xf numFmtId="0" fontId="41" fillId="8" borderId="42" applyAlignment="1" pivotButton="0" quotePrefix="0" xfId="0">
      <alignment horizontal="center"/>
    </xf>
    <xf numFmtId="0" fontId="41" fillId="8" borderId="43" applyAlignment="1" pivotButton="0" quotePrefix="0" xfId="0">
      <alignment horizontal="center"/>
    </xf>
    <xf numFmtId="0" fontId="41" fillId="8" borderId="30" applyAlignment="1" pivotButton="0" quotePrefix="0" xfId="0">
      <alignment horizontal="center"/>
    </xf>
    <xf numFmtId="0" fontId="41" fillId="8" borderId="31" applyAlignment="1" pivotButton="0" quotePrefix="0" xfId="0">
      <alignment horizontal="center"/>
    </xf>
    <xf numFmtId="0" fontId="42" fillId="9" borderId="30" applyAlignment="1" pivotButton="0" quotePrefix="0" xfId="0">
      <alignment horizontal="center"/>
    </xf>
    <xf numFmtId="0" fontId="42" fillId="9" borderId="31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42" fillId="13" borderId="30" applyAlignment="1" pivotButton="0" quotePrefix="0" xfId="0">
      <alignment horizontal="center"/>
    </xf>
    <xf numFmtId="0" fontId="42" fillId="13" borderId="44" applyAlignment="1" pivotButton="0" quotePrefix="0" xfId="0">
      <alignment horizontal="center"/>
    </xf>
    <xf numFmtId="0" fontId="42" fillId="13" borderId="31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0" fontId="9" fillId="0" borderId="3" applyAlignment="1" pivotButton="0" quotePrefix="0" xfId="0">
      <alignment horizontal="center" vertical="center"/>
    </xf>
    <xf numFmtId="0" fontId="42" fillId="15" borderId="30" applyAlignment="1" pivotButton="0" quotePrefix="0" xfId="0">
      <alignment horizontal="center" vertical="center"/>
    </xf>
    <xf numFmtId="0" fontId="42" fillId="15" borderId="44" applyAlignment="1" pivotButton="0" quotePrefix="0" xfId="0">
      <alignment horizontal="center" vertical="center"/>
    </xf>
    <xf numFmtId="0" fontId="42" fillId="15" borderId="31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 vertical="center"/>
    </xf>
    <xf numFmtId="0" fontId="16" fillId="0" borderId="47" applyAlignment="1" pivotButton="0" quotePrefix="0" xfId="0">
      <alignment horizontal="center"/>
    </xf>
    <xf numFmtId="0" fontId="16" fillId="0" borderId="17" applyAlignment="1" pivotButton="0" quotePrefix="0" xfId="0">
      <alignment horizontal="center"/>
    </xf>
    <xf numFmtId="0" fontId="6" fillId="11" borderId="22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6" fillId="11" borderId="23" applyAlignment="1" pivotButton="0" quotePrefix="0" xfId="0">
      <alignment horizontal="center" vertical="center"/>
    </xf>
    <xf numFmtId="0" fontId="6" fillId="11" borderId="19" applyAlignment="1" pivotButton="0" quotePrefix="0" xfId="0">
      <alignment horizontal="center" vertical="center"/>
    </xf>
    <xf numFmtId="0" fontId="16" fillId="0" borderId="46" applyAlignment="1" pivotButton="0" quotePrefix="0" xfId="0">
      <alignment horizontal="center"/>
    </xf>
    <xf numFmtId="0" fontId="16" fillId="0" borderId="15" applyAlignment="1" pivotButton="0" quotePrefix="0" xfId="0">
      <alignment horizontal="center"/>
    </xf>
    <xf numFmtId="0" fontId="16" fillId="4" borderId="47" applyAlignment="1" pivotButton="0" quotePrefix="0" xfId="0">
      <alignment horizontal="center" vertical="center"/>
    </xf>
    <xf numFmtId="0" fontId="16" fillId="4" borderId="17" applyAlignment="1" pivotButton="0" quotePrefix="0" xfId="0">
      <alignment horizontal="center" vertical="center"/>
    </xf>
    <xf numFmtId="0" fontId="16" fillId="2" borderId="47" applyAlignment="1" pivotButton="0" quotePrefix="0" xfId="0">
      <alignment horizontal="center"/>
    </xf>
    <xf numFmtId="0" fontId="16" fillId="2" borderId="17" applyAlignment="1" pivotButton="0" quotePrefix="0" xfId="0">
      <alignment horizontal="center"/>
    </xf>
    <xf numFmtId="0" fontId="16" fillId="0" borderId="18" applyAlignment="1" pivotButton="0" quotePrefix="0" xfId="0">
      <alignment horizontal="center"/>
    </xf>
    <xf numFmtId="0" fontId="16" fillId="0" borderId="10" applyAlignment="1" pivotButton="0" quotePrefix="0" xfId="0">
      <alignment horizontal="center"/>
    </xf>
    <xf numFmtId="0" fontId="15" fillId="13" borderId="3" applyAlignment="1" pivotButton="0" quotePrefix="0" xfId="0">
      <alignment horizontal="center" vertical="center"/>
    </xf>
    <xf numFmtId="0" fontId="7" fillId="18" borderId="18" applyAlignment="1" pivotButton="0" quotePrefix="0" xfId="0">
      <alignment horizontal="center" vertical="center"/>
    </xf>
    <xf numFmtId="0" fontId="7" fillId="18" borderId="25" applyAlignment="1" pivotButton="0" quotePrefix="0" xfId="0">
      <alignment horizontal="center" vertical="center"/>
    </xf>
    <xf numFmtId="0" fontId="5" fillId="9" borderId="24" applyAlignment="1" pivotButton="0" quotePrefix="0" xfId="0">
      <alignment horizontal="center" vertical="center"/>
    </xf>
    <xf numFmtId="0" fontId="5" fillId="9" borderId="25" applyAlignment="1" pivotButton="0" quotePrefix="0" xfId="0">
      <alignment horizontal="center" vertical="center"/>
    </xf>
    <xf numFmtId="0" fontId="5" fillId="18" borderId="18" applyAlignment="1" pivotButton="0" quotePrefix="0" xfId="0">
      <alignment horizontal="center" vertical="center"/>
    </xf>
    <xf numFmtId="0" fontId="5" fillId="18" borderId="25" applyAlignment="1" pivotButton="0" quotePrefix="0" xfId="0">
      <alignment horizontal="center" vertical="center"/>
    </xf>
    <xf numFmtId="0" fontId="5" fillId="18" borderId="24" applyAlignment="1" pivotButton="0" quotePrefix="0" xfId="0">
      <alignment horizontal="center" vertical="center" wrapText="1"/>
    </xf>
    <xf numFmtId="0" fontId="5" fillId="18" borderId="25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5" fillId="7" borderId="24" applyAlignment="1" pivotButton="0" quotePrefix="0" xfId="0">
      <alignment horizontal="center" vertical="center"/>
    </xf>
    <xf numFmtId="0" fontId="5" fillId="7" borderId="25" applyAlignment="1" pivotButton="0" quotePrefix="0" xfId="0">
      <alignment horizontal="center" vertical="center"/>
    </xf>
    <xf numFmtId="0" fontId="5" fillId="8" borderId="24" applyAlignment="1" pivotButton="0" quotePrefix="0" xfId="0">
      <alignment horizontal="center" vertical="center"/>
    </xf>
    <xf numFmtId="0" fontId="5" fillId="8" borderId="25" applyAlignment="1" pivotButton="0" quotePrefix="0" xfId="0">
      <alignment horizontal="center" vertical="center"/>
    </xf>
    <xf numFmtId="0" fontId="6" fillId="18" borderId="24" applyAlignment="1" pivotButton="0" quotePrefix="0" xfId="0">
      <alignment horizontal="center" vertical="center" wrapText="1"/>
    </xf>
    <xf numFmtId="0" fontId="6" fillId="18" borderId="25" applyAlignment="1" pivotButton="0" quotePrefix="0" xfId="0">
      <alignment horizontal="center" vertical="center" wrapText="1"/>
    </xf>
    <xf numFmtId="0" fontId="7" fillId="18" borderId="24" applyAlignment="1" pivotButton="0" quotePrefix="0" xfId="0">
      <alignment horizontal="center" vertical="center" wrapText="1"/>
    </xf>
    <xf numFmtId="0" fontId="7" fillId="18" borderId="25" applyAlignment="1" pivotButton="0" quotePrefix="0" xfId="0">
      <alignment horizontal="center" vertical="center" wrapText="1"/>
    </xf>
    <xf numFmtId="0" fontId="37" fillId="0" borderId="3" applyAlignment="1" pivotButton="0" quotePrefix="0" xfId="0">
      <alignment horizontal="center"/>
    </xf>
    <xf numFmtId="0" fontId="37" fillId="0" borderId="73" applyAlignment="1" pivotButton="0" quotePrefix="0" xfId="0">
      <alignment horizontal="center"/>
    </xf>
    <xf numFmtId="0" fontId="6" fillId="15" borderId="24" applyAlignment="1" pivotButton="0" quotePrefix="0" xfId="0">
      <alignment horizontal="center" vertical="center"/>
    </xf>
    <xf numFmtId="0" fontId="6" fillId="15" borderId="22" applyAlignment="1" pivotButton="0" quotePrefix="0" xfId="0">
      <alignment horizontal="center" vertical="center"/>
    </xf>
    <xf numFmtId="0" fontId="6" fillId="15" borderId="23" applyAlignment="1" pivotButton="0" quotePrefix="0" xfId="0">
      <alignment horizontal="center" vertical="center"/>
    </xf>
    <xf numFmtId="0" fontId="6" fillId="15" borderId="25" applyAlignment="1" pivotButton="0" quotePrefix="0" xfId="0">
      <alignment horizontal="center" vertical="center"/>
    </xf>
    <xf numFmtId="0" fontId="6" fillId="15" borderId="0" applyAlignment="1" pivotButton="0" quotePrefix="0" xfId="0">
      <alignment horizontal="center" vertical="center"/>
    </xf>
    <xf numFmtId="0" fontId="6" fillId="15" borderId="19" applyAlignment="1" pivotButton="0" quotePrefix="0" xfId="0">
      <alignment horizontal="center" vertical="center"/>
    </xf>
    <xf numFmtId="0" fontId="37" fillId="0" borderId="91" applyAlignment="1" pivotButton="0" quotePrefix="0" xfId="0">
      <alignment horizontal="center"/>
    </xf>
    <xf numFmtId="0" fontId="37" fillId="0" borderId="92" applyAlignment="1" pivotButton="0" quotePrefix="0" xfId="0">
      <alignment horizontal="center"/>
    </xf>
    <xf numFmtId="0" fontId="37" fillId="11" borderId="3" applyAlignment="1" pivotButton="0" quotePrefix="0" xfId="0">
      <alignment horizontal="center"/>
    </xf>
    <xf numFmtId="0" fontId="37" fillId="11" borderId="73" applyAlignment="1" pivotButton="0" quotePrefix="0" xfId="0">
      <alignment horizontal="center"/>
    </xf>
    <xf numFmtId="0" fontId="37" fillId="0" borderId="74" applyAlignment="1" pivotButton="0" quotePrefix="0" xfId="0">
      <alignment horizontal="center"/>
    </xf>
    <xf numFmtId="0" fontId="37" fillId="0" borderId="75" applyAlignment="1" pivotButton="0" quotePrefix="0" xfId="0">
      <alignment horizontal="center"/>
    </xf>
    <xf numFmtId="0" fontId="13" fillId="0" borderId="13" applyAlignment="1" pivotButton="0" quotePrefix="0" xfId="0">
      <alignment horizontal="center" vertical="center"/>
    </xf>
    <xf numFmtId="0" fontId="13" fillId="0" borderId="14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10" fillId="0" borderId="24" applyAlignment="1" pivotButton="0" quotePrefix="0" xfId="0">
      <alignment horizontal="center" vertical="center"/>
    </xf>
    <xf numFmtId="0" fontId="10" fillId="0" borderId="77" applyAlignment="1" pivotButton="0" quotePrefix="0" xfId="0">
      <alignment horizontal="center" vertical="center"/>
    </xf>
    <xf numFmtId="0" fontId="10" fillId="26" borderId="0" applyAlignment="1" pivotButton="0" quotePrefix="0" xfId="0">
      <alignment horizontal="center" vertical="center"/>
    </xf>
    <xf numFmtId="0" fontId="10" fillId="26" borderId="11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0" fillId="2" borderId="61" applyAlignment="1" pivotButton="0" quotePrefix="0" xfId="0">
      <alignment horizontal="center" vertical="center"/>
    </xf>
    <xf numFmtId="0" fontId="13" fillId="2" borderId="13" applyAlignment="1" pivotButton="0" quotePrefix="0" xfId="0">
      <alignment horizontal="center" vertical="center"/>
    </xf>
    <xf numFmtId="0" fontId="13" fillId="2" borderId="14" applyAlignment="1" pivotButton="0" quotePrefix="0" xfId="0">
      <alignment horizontal="center" vertical="center"/>
    </xf>
    <xf numFmtId="0" fontId="13" fillId="2" borderId="61" applyAlignment="1" pivotButton="0" quotePrefix="0" xfId="0">
      <alignment horizontal="center" vertical="center"/>
    </xf>
    <xf numFmtId="0" fontId="10" fillId="19" borderId="79" applyAlignment="1" pivotButton="0" quotePrefix="0" xfId="0">
      <alignment vertical="center"/>
    </xf>
    <xf numFmtId="0" fontId="10" fillId="19" borderId="78" applyAlignment="1" pivotButton="0" quotePrefix="0" xfId="0">
      <alignment vertical="center"/>
    </xf>
    <xf numFmtId="0" fontId="10" fillId="20" borderId="60" applyAlignment="1" pivotButton="0" quotePrefix="0" xfId="0">
      <alignment horizontal="center" vertical="center"/>
    </xf>
    <xf numFmtId="0" fontId="10" fillId="20" borderId="11" applyAlignment="1" pivotButton="0" quotePrefix="0" xfId="0">
      <alignment horizontal="center" vertical="center"/>
    </xf>
    <xf numFmtId="0" fontId="10" fillId="2" borderId="59" applyAlignment="1" pivotButton="0" quotePrefix="0" xfId="0">
      <alignment vertical="center"/>
    </xf>
    <xf numFmtId="0" fontId="10" fillId="2" borderId="82" applyAlignment="1" pivotButton="0" quotePrefix="0" xfId="0">
      <alignment vertical="center"/>
    </xf>
    <xf numFmtId="0" fontId="10" fillId="2" borderId="83" applyAlignment="1" pivotButton="0" quotePrefix="0" xfId="0">
      <alignment vertical="center"/>
    </xf>
    <xf numFmtId="0" fontId="10" fillId="2" borderId="84" applyAlignment="1" pivotButton="0" quotePrefix="0" xfId="0">
      <alignment vertical="center"/>
    </xf>
    <xf numFmtId="0" fontId="10" fillId="2" borderId="13" applyAlignment="1" pivotButton="0" quotePrefix="0" xfId="0">
      <alignment vertical="center"/>
    </xf>
    <xf numFmtId="0" fontId="10" fillId="2" borderId="61" applyAlignment="1" pivotButton="0" quotePrefix="0" xfId="0">
      <alignment vertical="center"/>
    </xf>
    <xf numFmtId="0" fontId="10" fillId="0" borderId="13" applyAlignment="1" pivotButton="0" quotePrefix="0" xfId="0">
      <alignment vertical="center"/>
    </xf>
    <xf numFmtId="0" fontId="10" fillId="0" borderId="61" applyAlignment="1" pivotButton="0" quotePrefix="0" xfId="0">
      <alignment vertical="center"/>
    </xf>
    <xf numFmtId="0" fontId="10" fillId="0" borderId="63" applyAlignment="1" pivotButton="0" quotePrefix="0" xfId="0">
      <alignment vertical="center"/>
    </xf>
    <xf numFmtId="0" fontId="10" fillId="0" borderId="64" applyAlignment="1" pivotButton="0" quotePrefix="0" xfId="0">
      <alignment vertical="center"/>
    </xf>
    <xf numFmtId="0" fontId="11" fillId="0" borderId="0" applyAlignment="1" pivotButton="0" quotePrefix="0" xfId="0">
      <alignment vertical="center" wrapText="1"/>
    </xf>
    <xf numFmtId="0" fontId="10" fillId="0" borderId="83" applyAlignment="1" pivotButton="0" quotePrefix="0" xfId="0">
      <alignment vertical="center"/>
    </xf>
    <xf numFmtId="0" fontId="10" fillId="0" borderId="84" applyAlignment="1" pivotButton="0" quotePrefix="0" xfId="0">
      <alignment vertical="center"/>
    </xf>
    <xf numFmtId="0" fontId="10" fillId="2" borderId="63" applyAlignment="1" pivotButton="0" quotePrefix="0" xfId="0">
      <alignment vertical="center"/>
    </xf>
    <xf numFmtId="0" fontId="10" fillId="2" borderId="64" applyAlignment="1" pivotButton="0" quotePrefix="0" xfId="0">
      <alignment vertical="center"/>
    </xf>
    <xf numFmtId="0" fontId="10" fillId="21" borderId="63" applyAlignment="1" pivotButton="0" quotePrefix="0" xfId="0">
      <alignment horizontal="center" vertical="center"/>
    </xf>
    <xf numFmtId="0" fontId="10" fillId="21" borderId="56" applyAlignment="1" pivotButton="0" quotePrefix="0" xfId="0">
      <alignment horizontal="center" vertical="center"/>
    </xf>
    <xf numFmtId="0" fontId="10" fillId="21" borderId="64" applyAlignment="1" pivotButton="0" quotePrefix="0" xfId="0">
      <alignment horizontal="center" vertical="center"/>
    </xf>
    <xf numFmtId="0" fontId="10" fillId="20" borderId="63" applyAlignment="1" pivotButton="0" quotePrefix="0" xfId="0">
      <alignment horizontal="center" vertical="center"/>
    </xf>
    <xf numFmtId="0" fontId="10" fillId="20" borderId="56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22" borderId="13" applyAlignment="1" pivotButton="0" quotePrefix="0" xfId="0">
      <alignment horizontal="center" vertical="center"/>
    </xf>
    <xf numFmtId="0" fontId="10" fillId="22" borderId="14" applyAlignment="1" pivotButton="0" quotePrefix="0" xfId="0">
      <alignment horizontal="center" vertical="center"/>
    </xf>
    <xf numFmtId="0" fontId="10" fillId="22" borderId="61" applyAlignment="1" pivotButton="0" quotePrefix="0" xfId="0">
      <alignment horizontal="center" vertical="center"/>
    </xf>
    <xf numFmtId="0" fontId="10" fillId="22" borderId="62" applyAlignment="1" pivotButton="0" quotePrefix="0" xfId="0">
      <alignment horizontal="center" vertical="center"/>
    </xf>
    <xf numFmtId="0" fontId="10" fillId="22" borderId="35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21" borderId="85" applyAlignment="1" pivotButton="0" quotePrefix="0" xfId="0">
      <alignment horizontal="center" vertical="center"/>
    </xf>
    <xf numFmtId="0" fontId="10" fillId="21" borderId="86" applyAlignment="1" pivotButton="0" quotePrefix="0" xfId="0">
      <alignment horizontal="center" vertical="center"/>
    </xf>
    <xf numFmtId="0" fontId="10" fillId="21" borderId="87" applyAlignment="1" pivotButton="0" quotePrefix="0" xfId="0">
      <alignment horizontal="center" vertical="center"/>
    </xf>
    <xf numFmtId="0" fontId="10" fillId="20" borderId="85" applyAlignment="1" pivotButton="0" quotePrefix="0" xfId="0">
      <alignment horizontal="center" vertical="center"/>
    </xf>
    <xf numFmtId="0" fontId="10" fillId="20" borderId="86" applyAlignment="1" pivotButton="0" quotePrefix="0" xfId="0">
      <alignment horizontal="center" vertical="center"/>
    </xf>
    <xf numFmtId="0" fontId="10" fillId="0" borderId="82" applyAlignment="1" pivotButton="0" quotePrefix="0" xfId="0">
      <alignment horizontal="center" vertical="center"/>
    </xf>
    <xf numFmtId="0" fontId="10" fillId="0" borderId="88" applyAlignment="1" pivotButton="0" quotePrefix="0" xfId="0">
      <alignment horizontal="center" vertical="center"/>
    </xf>
    <xf numFmtId="0" fontId="10" fillId="19" borderId="67" applyAlignment="1" pivotButton="0" quotePrefix="0" xfId="0">
      <alignment horizontal="center" vertical="center"/>
    </xf>
    <xf numFmtId="0" fontId="10" fillId="19" borderId="58" applyAlignment="1" pivotButton="0" quotePrefix="0" xfId="0">
      <alignment horizontal="center" vertical="center"/>
    </xf>
    <xf numFmtId="0" fontId="10" fillId="20" borderId="70" applyAlignment="1" pivotButton="0" quotePrefix="0" xfId="0">
      <alignment horizontal="center" vertical="center"/>
    </xf>
    <xf numFmtId="0" fontId="10" fillId="20" borderId="71" applyAlignment="1" pivotButton="0" quotePrefix="0" xfId="0">
      <alignment horizontal="center" vertical="center"/>
    </xf>
    <xf numFmtId="0" fontId="10" fillId="19" borderId="13" applyAlignment="1" pivotButton="0" quotePrefix="0" xfId="0">
      <alignment horizontal="center" vertical="center"/>
    </xf>
    <xf numFmtId="0" fontId="10" fillId="19" borderId="14" applyAlignment="1" pivotButton="0" quotePrefix="0" xfId="0">
      <alignment horizontal="center" vertical="center"/>
    </xf>
    <xf numFmtId="0" fontId="10" fillId="19" borderId="61" applyAlignment="1" pivotButton="0" quotePrefix="0" xfId="0">
      <alignment horizontal="center" vertical="center"/>
    </xf>
    <xf numFmtId="0" fontId="10" fillId="20" borderId="62" applyAlignment="1" pivotButton="0" quotePrefix="0" xfId="0">
      <alignment horizontal="center" vertical="center"/>
    </xf>
    <xf numFmtId="0" fontId="10" fillId="20" borderId="14" applyAlignment="1" pivotButton="0" quotePrefix="0" xfId="0">
      <alignment horizontal="center" vertical="center"/>
    </xf>
    <xf numFmtId="0" fontId="10" fillId="23" borderId="13" applyAlignment="1" pivotButton="0" quotePrefix="0" xfId="0">
      <alignment horizontal="center" vertical="center"/>
    </xf>
    <xf numFmtId="0" fontId="10" fillId="23" borderId="14" applyAlignment="1" pivotButton="0" quotePrefix="0" xfId="0">
      <alignment horizontal="center" vertical="center"/>
    </xf>
    <xf numFmtId="0" fontId="10" fillId="23" borderId="61" applyAlignment="1" pivotButton="0" quotePrefix="0" xfId="0">
      <alignment horizontal="center" vertical="center"/>
    </xf>
    <xf numFmtId="0" fontId="10" fillId="23" borderId="62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89" applyAlignment="1" pivotButton="0" quotePrefix="0" xfId="0">
      <alignment horizontal="center" vertical="center"/>
    </xf>
    <xf numFmtId="0" fontId="10" fillId="23" borderId="0" applyAlignment="1" pivotButton="0" quotePrefix="0" xfId="0">
      <alignment horizontal="center" vertical="center"/>
    </xf>
    <xf numFmtId="0" fontId="14" fillId="0" borderId="22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23" fillId="25" borderId="26" applyAlignment="1" pivotButton="0" quotePrefix="0" xfId="0">
      <alignment horizontal="center" vertical="center"/>
    </xf>
    <xf numFmtId="0" fontId="23" fillId="25" borderId="97" applyAlignment="1" pivotButton="0" quotePrefix="0" xfId="0">
      <alignment horizontal="center" vertical="center"/>
    </xf>
    <xf numFmtId="0" fontId="23" fillId="0" borderId="93" applyAlignment="1" pivotButton="0" quotePrefix="0" xfId="0">
      <alignment horizontal="center" vertical="center"/>
    </xf>
    <xf numFmtId="0" fontId="23" fillId="0" borderId="73" applyAlignment="1" pivotButton="0" quotePrefix="0" xfId="0">
      <alignment horizontal="center" vertical="center"/>
    </xf>
    <xf numFmtId="0" fontId="23" fillId="0" borderId="94" applyAlignment="1" pivotButton="0" quotePrefix="0" xfId="0">
      <alignment horizontal="center" vertical="center"/>
    </xf>
    <xf numFmtId="0" fontId="23" fillId="0" borderId="75" applyAlignment="1" pivotButton="0" quotePrefix="0" xfId="0">
      <alignment horizontal="center" vertical="center"/>
    </xf>
    <xf numFmtId="0" fontId="23" fillId="25" borderId="17" applyAlignment="1" pivotButton="0" quotePrefix="0" xfId="0">
      <alignment horizontal="center" vertical="center"/>
    </xf>
    <xf numFmtId="0" fontId="23" fillId="25" borderId="41" applyAlignment="1" pivotButton="0" quotePrefix="0" xfId="0">
      <alignment horizontal="center" vertical="center"/>
    </xf>
    <xf numFmtId="0" fontId="22" fillId="30" borderId="3" applyAlignment="1" pivotButton="0" quotePrefix="0" xfId="0">
      <alignment horizontal="center" vertical="center"/>
    </xf>
    <xf numFmtId="0" fontId="22" fillId="31" borderId="3" applyAlignment="1" pivotButton="0" quotePrefix="0" xfId="0">
      <alignment horizontal="center" vertical="center"/>
    </xf>
    <xf numFmtId="0" fontId="22" fillId="30" borderId="16" applyAlignment="1" pivotButton="0" quotePrefix="0" xfId="0">
      <alignment horizontal="center" vertical="center"/>
    </xf>
    <xf numFmtId="0" fontId="22" fillId="30" borderId="26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0" fillId="0" borderId="22" pivotButton="0" quotePrefix="0" xfId="0"/>
    <xf numFmtId="0" fontId="25" fillId="0" borderId="45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17" pivotButton="0" quotePrefix="0" xfId="0"/>
    <xf numFmtId="0" fontId="0" fillId="0" borderId="26" pivotButton="0" quotePrefix="0" xfId="0"/>
    <xf numFmtId="0" fontId="30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18" fillId="2" borderId="98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95" pivotButton="0" quotePrefix="0" xfId="0"/>
    <xf numFmtId="0" fontId="38" fillId="3" borderId="48" applyAlignment="1" pivotButton="0" quotePrefix="0" xfId="0">
      <alignment horizontal="center"/>
    </xf>
    <xf numFmtId="0" fontId="0" fillId="0" borderId="14" pivotButton="0" quotePrefix="0" xfId="0"/>
    <xf numFmtId="0" fontId="0" fillId="0" borderId="35" pivotButton="0" quotePrefix="0" xfId="0"/>
    <xf numFmtId="0" fontId="38" fillId="7" borderId="49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38" fillId="8" borderId="49" applyAlignment="1" pivotButton="0" quotePrefix="0" xfId="0">
      <alignment horizontal="center"/>
    </xf>
    <xf numFmtId="0" fontId="38" fillId="29" borderId="48" applyAlignment="1" pivotButton="0" quotePrefix="0" xfId="0">
      <alignment horizontal="center"/>
    </xf>
    <xf numFmtId="0" fontId="38" fillId="13" borderId="48" applyAlignment="1" pivotButton="0" quotePrefix="0" xfId="0">
      <alignment horizontal="center"/>
    </xf>
    <xf numFmtId="0" fontId="38" fillId="17" borderId="48" applyAlignment="1" pivotButton="0" quotePrefix="0" xfId="0">
      <alignment horizontal="center"/>
    </xf>
    <xf numFmtId="0" fontId="38" fillId="9" borderId="100" applyAlignment="1" pivotButton="0" quotePrefix="0" xfId="0">
      <alignment horizontal="center"/>
    </xf>
    <xf numFmtId="0" fontId="0" fillId="0" borderId="23" pivotButton="0" quotePrefix="0" xfId="0"/>
    <xf numFmtId="0" fontId="0" fillId="0" borderId="20" pivotButton="0" quotePrefix="0" xfId="0"/>
    <xf numFmtId="0" fontId="0" fillId="0" borderId="96" pivotButton="0" quotePrefix="0" xfId="0"/>
    <xf numFmtId="0" fontId="39" fillId="0" borderId="48" applyAlignment="1" pivotButton="0" quotePrefix="0" xfId="0">
      <alignment horizontal="center" vertical="center"/>
    </xf>
    <xf numFmtId="0" fontId="39" fillId="0" borderId="48" applyAlignment="1" pivotButton="0" quotePrefix="0" xfId="0">
      <alignment horizontal="center"/>
    </xf>
    <xf numFmtId="0" fontId="26" fillId="0" borderId="6" applyAlignment="1" pivotButton="0" quotePrefix="0" xfId="0">
      <alignment horizontal="center" vertical="center"/>
    </xf>
    <xf numFmtId="0" fontId="0" fillId="0" borderId="104" pivotButton="0" quotePrefix="0" xfId="0"/>
    <xf numFmtId="0" fontId="41" fillId="3" borderId="29" applyAlignment="1" pivotButton="0" quotePrefix="0" xfId="0">
      <alignment horizontal="center"/>
    </xf>
    <xf numFmtId="0" fontId="0" fillId="0" borderId="31" pivotButton="0" quotePrefix="0" xfId="0"/>
    <xf numFmtId="0" fontId="41" fillId="7" borderId="29" applyAlignment="1" pivotButton="0" quotePrefix="0" xfId="0">
      <alignment horizontal="center"/>
    </xf>
    <xf numFmtId="0" fontId="41" fillId="8" borderId="29" applyAlignment="1" pivotButton="0" quotePrefix="0" xfId="0">
      <alignment horizontal="center"/>
    </xf>
    <xf numFmtId="0" fontId="42" fillId="9" borderId="29" applyAlignment="1" pivotButton="0" quotePrefix="0" xfId="0">
      <alignment horizontal="center"/>
    </xf>
    <xf numFmtId="0" fontId="42" fillId="13" borderId="29" applyAlignment="1" pivotButton="0" quotePrefix="0" xfId="0">
      <alignment horizontal="center"/>
    </xf>
    <xf numFmtId="0" fontId="0" fillId="0" borderId="44" pivotButton="0" quotePrefix="0" xfId="0"/>
    <xf numFmtId="0" fontId="42" fillId="15" borderId="29" applyAlignment="1" pivotButton="0" quotePrefix="0" xfId="0">
      <alignment horizontal="center" vertical="center"/>
    </xf>
    <xf numFmtId="0" fontId="0" fillId="0" borderId="8" pivotButton="0" quotePrefix="0" xfId="0"/>
    <xf numFmtId="0" fontId="22" fillId="3" borderId="29" applyAlignment="1" pivotButton="0" quotePrefix="0" xfId="0">
      <alignment horizontal="center"/>
    </xf>
    <xf numFmtId="0" fontId="22" fillId="7" borderId="29" applyAlignment="1" pivotButton="0" quotePrefix="0" xfId="0">
      <alignment horizontal="center"/>
    </xf>
    <xf numFmtId="0" fontId="22" fillId="8" borderId="29" applyAlignment="1" pivotButton="0" quotePrefix="0" xfId="0">
      <alignment horizontal="center"/>
    </xf>
    <xf numFmtId="0" fontId="22" fillId="9" borderId="29" applyAlignment="1" pivotButton="0" quotePrefix="0" xfId="0">
      <alignment horizontal="center"/>
    </xf>
    <xf numFmtId="0" fontId="1" fillId="13" borderId="29" applyAlignment="1" pivotButton="0" quotePrefix="0" xfId="0">
      <alignment horizontal="center"/>
    </xf>
    <xf numFmtId="0" fontId="1" fillId="15" borderId="29" applyAlignment="1" pivotButton="0" quotePrefix="0" xfId="0">
      <alignment horizontal="center" vertical="center"/>
    </xf>
    <xf numFmtId="0" fontId="18" fillId="16" borderId="105" applyAlignment="1" pivotButton="0" quotePrefix="0" xfId="0">
      <alignment horizontal="center"/>
    </xf>
    <xf numFmtId="0" fontId="0" fillId="0" borderId="51" pivotButton="0" quotePrefix="0" xfId="0"/>
    <xf numFmtId="0" fontId="20" fillId="11" borderId="6" applyAlignment="1" pivotButton="0" quotePrefix="0" xfId="0">
      <alignment horizontal="center" vertical="center"/>
    </xf>
    <xf numFmtId="0" fontId="43" fillId="3" borderId="100" applyAlignment="1" pivotButton="0" quotePrefix="0" xfId="0">
      <alignment horizontal="center" vertical="center"/>
    </xf>
    <xf numFmtId="0" fontId="43" fillId="7" borderId="100" applyAlignment="1" pivotButton="0" quotePrefix="0" xfId="0">
      <alignment horizontal="center" vertical="center"/>
    </xf>
    <xf numFmtId="0" fontId="43" fillId="8" borderId="100" applyAlignment="1" pivotButton="0" quotePrefix="0" xfId="0">
      <alignment horizontal="center" vertical="center"/>
    </xf>
    <xf numFmtId="0" fontId="44" fillId="28" borderId="100" applyAlignment="1" pivotButton="0" quotePrefix="0" xfId="0">
      <alignment horizontal="center" vertical="center"/>
    </xf>
    <xf numFmtId="0" fontId="20" fillId="15" borderId="6" applyAlignment="1" pivotButton="0" quotePrefix="0" xfId="0">
      <alignment horizontal="center" vertical="center"/>
    </xf>
    <xf numFmtId="0" fontId="18" fillId="3" borderId="29" applyAlignment="1" pivotButton="0" quotePrefix="0" xfId="0">
      <alignment horizontal="center" vertical="center"/>
    </xf>
    <xf numFmtId="0" fontId="18" fillId="7" borderId="29" applyAlignment="1" pivotButton="0" quotePrefix="0" xfId="0">
      <alignment horizontal="center" vertical="center"/>
    </xf>
    <xf numFmtId="0" fontId="6" fillId="15" borderId="10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5" pivotButton="0" quotePrefix="0" xfId="0"/>
    <xf numFmtId="0" fontId="0" fillId="0" borderId="107" pivotButton="0" quotePrefix="0" xfId="0"/>
    <xf numFmtId="0" fontId="0" fillId="0" borderId="41" pivotButton="0" quotePrefix="0" xfId="0"/>
    <xf numFmtId="0" fontId="0" fillId="0" borderId="97" pivotButton="0" quotePrefix="0" xfId="0"/>
    <xf numFmtId="0" fontId="10" fillId="0" borderId="125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8" pivotButton="0" quotePrefix="0" xfId="0"/>
    <xf numFmtId="0" fontId="10" fillId="21" borderId="121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64" pivotButton="0" quotePrefix="0" xfId="0"/>
    <xf numFmtId="0" fontId="10" fillId="20" borderId="114" applyAlignment="1" pivotButton="0" quotePrefix="0" xfId="0">
      <alignment horizontal="center" vertical="center"/>
    </xf>
    <xf numFmtId="0" fontId="10" fillId="19" borderId="108" applyAlignment="1" pivotButton="0" quotePrefix="0" xfId="0">
      <alignment horizontal="center" vertical="center"/>
    </xf>
    <xf numFmtId="0" fontId="0" fillId="0" borderId="61" pivotButton="0" quotePrefix="0" xfId="0"/>
    <xf numFmtId="0" fontId="10" fillId="0" borderId="122" applyAlignment="1" pivotButton="0" quotePrefix="0" xfId="0">
      <alignment horizontal="center" vertical="center"/>
    </xf>
    <xf numFmtId="0" fontId="0" fillId="0" borderId="65" pivotButton="0" quotePrefix="0" xfId="0"/>
    <xf numFmtId="0" fontId="0" fillId="0" borderId="66" pivotButton="0" quotePrefix="0" xfId="0"/>
    <xf numFmtId="0" fontId="0" fillId="0" borderId="58" pivotButton="0" quotePrefix="0" xfId="0"/>
    <xf numFmtId="0" fontId="0" fillId="0" borderId="71" pivotButton="0" quotePrefix="0" xfId="0"/>
    <xf numFmtId="0" fontId="10" fillId="0" borderId="108" applyAlignment="1" pivotButton="0" quotePrefix="0" xfId="0">
      <alignment horizontal="center" vertical="center"/>
    </xf>
    <xf numFmtId="0" fontId="10" fillId="0" borderId="109" applyAlignment="1" pivotButton="0" quotePrefix="0" xfId="0">
      <alignment horizontal="center" vertical="center"/>
    </xf>
    <xf numFmtId="0" fontId="13" fillId="0" borderId="108" applyAlignment="1" pivotButton="0" quotePrefix="0" xfId="0">
      <alignment horizontal="center" vertical="center"/>
    </xf>
    <xf numFmtId="0" fontId="10" fillId="2" borderId="119" applyAlignment="1" pivotButton="0" quotePrefix="0" xfId="0">
      <alignment vertical="center"/>
    </xf>
    <xf numFmtId="0" fontId="0" fillId="0" borderId="82" pivotButton="0" quotePrefix="0" xfId="0"/>
    <xf numFmtId="0" fontId="10" fillId="2" borderId="124" applyAlignment="1" pivotButton="0" quotePrefix="0" xfId="0">
      <alignment vertical="center"/>
    </xf>
    <xf numFmtId="0" fontId="0" fillId="0" borderId="84" pivotButton="0" quotePrefix="0" xfId="0"/>
    <xf numFmtId="0" fontId="10" fillId="2" borderId="108" applyAlignment="1" pivotButton="0" quotePrefix="0" xfId="0">
      <alignment vertical="center"/>
    </xf>
    <xf numFmtId="0" fontId="10" fillId="0" borderId="108" applyAlignment="1" pivotButton="0" quotePrefix="0" xfId="0">
      <alignment vertical="center"/>
    </xf>
    <xf numFmtId="0" fontId="10" fillId="22" borderId="108" applyAlignment="1" pivotButton="0" quotePrefix="0" xfId="0">
      <alignment horizontal="center" vertical="center"/>
    </xf>
    <xf numFmtId="0" fontId="10" fillId="22" borderId="116" applyAlignment="1" pivotButton="0" quotePrefix="0" xfId="0">
      <alignment horizontal="center" vertical="center"/>
    </xf>
    <xf numFmtId="0" fontId="10" fillId="23" borderId="108" applyAlignment="1" pivotButton="0" quotePrefix="0" xfId="0">
      <alignment horizontal="center" vertical="center"/>
    </xf>
    <xf numFmtId="0" fontId="10" fillId="23" borderId="109" applyAlignment="1" pivotButton="0" quotePrefix="0" xfId="0">
      <alignment horizontal="center" vertical="center"/>
    </xf>
    <xf numFmtId="0" fontId="10" fillId="0" borderId="124" applyAlignment="1" pivotButton="0" quotePrefix="0" xfId="0">
      <alignment vertical="center"/>
    </xf>
    <xf numFmtId="0" fontId="10" fillId="2" borderId="121" applyAlignment="1" pivotButton="0" quotePrefix="0" xfId="0">
      <alignment vertical="center"/>
    </xf>
    <xf numFmtId="0" fontId="13" fillId="2" borderId="108" applyAlignment="1" pivotButton="0" quotePrefix="0" xfId="0">
      <alignment horizontal="center" vertical="center"/>
    </xf>
    <xf numFmtId="0" fontId="10" fillId="0" borderId="116" applyAlignment="1" pivotButton="0" quotePrefix="0" xfId="0">
      <alignment horizontal="center" vertical="center"/>
    </xf>
    <xf numFmtId="0" fontId="10" fillId="0" borderId="121" applyAlignment="1" pivotButton="0" quotePrefix="0" xfId="0">
      <alignment vertical="center"/>
    </xf>
    <xf numFmtId="0" fontId="10" fillId="0" borderId="110" applyAlignment="1" pivotButton="0" quotePrefix="0" xfId="0">
      <alignment horizontal="center" vertical="center"/>
    </xf>
    <xf numFmtId="0" fontId="0" fillId="0" borderId="67" pivotButton="0" quotePrefix="0" xfId="0"/>
    <xf numFmtId="0" fontId="10" fillId="0" borderId="111" applyAlignment="1" pivotButton="0" quotePrefix="0" xfId="0">
      <alignment horizontal="center" vertical="center"/>
    </xf>
    <xf numFmtId="0" fontId="10" fillId="0" borderId="113" applyAlignment="1" pivotButton="0" quotePrefix="0" xfId="0">
      <alignment horizontal="center" vertical="center"/>
    </xf>
    <xf numFmtId="0" fontId="10" fillId="21" borderId="117" applyAlignment="1" pivotButton="0" quotePrefix="0" xfId="0">
      <alignment horizontal="center" vertical="center"/>
    </xf>
    <xf numFmtId="0" fontId="0" fillId="0" borderId="86" pivotButton="0" quotePrefix="0" xfId="0"/>
    <xf numFmtId="0" fontId="0" fillId="0" borderId="87" pivotButton="0" quotePrefix="0" xfId="0"/>
    <xf numFmtId="0" fontId="10" fillId="0" borderId="119" applyAlignment="1" pivotButton="0" quotePrefix="0" xfId="0">
      <alignment horizontal="center" vertical="center"/>
    </xf>
    <xf numFmtId="0" fontId="10" fillId="2" borderId="10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56"/>
  <sheetViews>
    <sheetView topLeftCell="A34" zoomScale="43" workbookViewId="0">
      <selection activeCell="B28" sqref="B28:D28"/>
    </sheetView>
  </sheetViews>
  <sheetFormatPr baseColWidth="10" defaultColWidth="8.83203125" defaultRowHeight="15"/>
  <cols>
    <col width="81.83203125" customWidth="1" min="1" max="1"/>
    <col width="19.6640625" customWidth="1" min="2" max="4"/>
    <col width="0.5" customWidth="1" min="5" max="5"/>
    <col width="20" customWidth="1" min="6" max="8"/>
    <col width="0.5" customWidth="1" min="9" max="9"/>
    <col width="20.83203125" customWidth="1" min="10" max="12"/>
    <col width="0.5" customWidth="1" min="13" max="13"/>
    <col width="13.6640625" customWidth="1" min="14" max="14"/>
    <col width="14.1640625" customWidth="1" min="15" max="15"/>
    <col width="13.83203125" customWidth="1" min="16" max="16"/>
    <col width="77.1640625" customWidth="1" min="17" max="17"/>
    <col width="15" customWidth="1" min="18" max="20"/>
    <col width="51.83203125" customWidth="1" min="22" max="22"/>
    <col width="21.6640625" customWidth="1" min="23" max="25"/>
  </cols>
  <sheetData>
    <row r="1" ht="15" customHeight="1" thickBot="1">
      <c r="A1" s="2" t="inlineStr">
        <is>
          <t>LA VİTA</t>
        </is>
      </c>
      <c r="B1" s="6" t="n"/>
      <c r="C1" s="7" t="n"/>
      <c r="D1" s="7" t="n"/>
      <c r="E1" s="3" t="n"/>
      <c r="F1" s="6" t="n"/>
      <c r="G1" s="7" t="n"/>
      <c r="H1" s="7" t="n"/>
      <c r="I1" s="3" t="n"/>
      <c r="J1" s="6" t="n"/>
      <c r="K1" s="7" t="n"/>
      <c r="L1" s="7" t="n"/>
      <c r="M1" s="3" t="n"/>
      <c r="N1" s="6" t="n"/>
      <c r="O1" s="7" t="n"/>
      <c r="P1" s="7" t="n"/>
    </row>
    <row r="2" ht="15" customHeight="1" thickBot="1">
      <c r="A2" s="4" t="inlineStr">
        <is>
          <t>GÜN:</t>
        </is>
      </c>
      <c r="B2" s="1" t="n"/>
      <c r="C2" s="8" t="n"/>
      <c r="D2" s="8" t="n"/>
      <c r="E2" s="5" t="n"/>
      <c r="F2" s="1" t="n"/>
      <c r="G2" s="8" t="n"/>
      <c r="H2" s="8" t="n"/>
      <c r="I2" s="5" t="n"/>
      <c r="J2" s="1" t="n"/>
      <c r="K2" s="8" t="n"/>
      <c r="L2" s="8" t="n"/>
      <c r="M2" s="5" t="n"/>
      <c r="N2" s="1" t="n"/>
      <c r="O2" s="8" t="n"/>
      <c r="P2" s="8" t="n"/>
    </row>
    <row r="3" ht="15" customHeight="1">
      <c r="A3" s="560" t="inlineStr">
        <is>
          <t>ÜRÜNLER</t>
        </is>
      </c>
      <c r="B3" s="315" t="inlineStr">
        <is>
          <t>NİŞANTAŞI</t>
        </is>
      </c>
      <c r="C3" s="561" t="n"/>
      <c r="D3" s="561" t="n"/>
      <c r="E3" s="105" t="n"/>
      <c r="F3" s="304" t="inlineStr">
        <is>
          <t>FULYA</t>
        </is>
      </c>
      <c r="G3" s="561" t="n"/>
      <c r="H3" s="561" t="n"/>
      <c r="I3" s="105" t="n"/>
      <c r="J3" s="306" t="inlineStr">
        <is>
          <t>MASLAK</t>
        </is>
      </c>
      <c r="K3" s="561" t="n"/>
      <c r="L3" s="561" t="n"/>
      <c r="M3" s="105" t="n"/>
      <c r="N3" s="308" t="inlineStr">
        <is>
          <t>K.BURNU</t>
        </is>
      </c>
      <c r="O3" s="561" t="n"/>
      <c r="P3" s="561" t="n"/>
      <c r="Q3" s="562" t="n"/>
      <c r="R3" s="322" t="inlineStr">
        <is>
          <t>TOPLAM</t>
        </is>
      </c>
    </row>
    <row r="4" ht="15.75" customHeight="1" thickBot="1">
      <c r="A4" s="563" t="n"/>
      <c r="E4" s="106" t="n"/>
      <c r="I4" s="106" t="n"/>
      <c r="M4" s="106" t="n"/>
      <c r="Q4" s="563" t="n"/>
    </row>
    <row r="5" ht="48" customHeight="1" thickBot="1">
      <c r="A5" s="9" t="inlineStr">
        <is>
          <t>TEK PASTALAR</t>
        </is>
      </c>
      <c r="E5" s="106" t="n"/>
      <c r="I5" s="106" t="n"/>
      <c r="M5" s="106" t="n"/>
      <c r="Q5" s="164" t="inlineStr">
        <is>
          <t>TEK PASTALAR</t>
        </is>
      </c>
    </row>
    <row r="6" ht="62" customHeight="1" thickBot="1">
      <c r="A6" s="147" t="inlineStr">
        <is>
          <t>TİRAMİSU</t>
        </is>
      </c>
      <c r="B6" s="255" t="n"/>
      <c r="C6" s="564" t="n"/>
      <c r="D6" s="565" t="n"/>
      <c r="E6" s="109" t="n"/>
      <c r="F6" s="255" t="n"/>
      <c r="G6" s="564" t="n"/>
      <c r="H6" s="565" t="n"/>
      <c r="I6" s="109" t="n"/>
      <c r="J6" s="255" t="n"/>
      <c r="K6" s="564" t="n"/>
      <c r="L6" s="565" t="n"/>
      <c r="M6" s="109" t="n"/>
      <c r="N6" s="255" t="n"/>
      <c r="O6" s="564" t="n"/>
      <c r="P6" s="565" t="n"/>
      <c r="Q6" s="320" t="inlineStr">
        <is>
          <t>TİRAMİSU</t>
        </is>
      </c>
      <c r="R6" s="317">
        <f>B6+F6+J6+N6</f>
        <v/>
      </c>
      <c r="S6" s="564" t="n"/>
      <c r="T6" s="565" t="n"/>
      <c r="V6" s="82" t="inlineStr">
        <is>
          <t>BÜTÜN CHEESCAKE</t>
        </is>
      </c>
      <c r="W6" s="84" t="n">
        <v>0</v>
      </c>
      <c r="X6" s="84" t="n">
        <v>1</v>
      </c>
      <c r="Y6" s="84" t="n">
        <v>2</v>
      </c>
    </row>
    <row r="7" ht="62" customHeight="1">
      <c r="A7" s="147" t="inlineStr">
        <is>
          <t>KARPATKA</t>
        </is>
      </c>
      <c r="B7" s="255" t="n"/>
      <c r="C7" s="564" t="n"/>
      <c r="D7" s="565" t="n"/>
      <c r="E7" s="109" t="n"/>
      <c r="F7" s="255" t="n"/>
      <c r="G7" s="564" t="n"/>
      <c r="H7" s="565" t="n"/>
      <c r="I7" s="109" t="n"/>
      <c r="J7" s="255" t="n"/>
      <c r="K7" s="564" t="n"/>
      <c r="L7" s="565" t="n"/>
      <c r="M7" s="109" t="n"/>
      <c r="N7" s="255" t="n"/>
      <c r="O7" s="564" t="n"/>
      <c r="P7" s="565" t="n"/>
      <c r="Q7" s="320" t="inlineStr">
        <is>
          <t>KARPATKA</t>
        </is>
      </c>
      <c r="R7" s="317">
        <f>B7+F7+J7+N7</f>
        <v/>
      </c>
      <c r="S7" s="564" t="n"/>
      <c r="T7" s="565" t="n"/>
      <c r="V7" s="165" t="inlineStr">
        <is>
          <t>FRAMBUAZLI</t>
        </is>
      </c>
      <c r="W7" s="155">
        <f>B48+F48+J48+N48</f>
        <v/>
      </c>
      <c r="X7" s="155">
        <f>C48+G48+K48+O48</f>
        <v/>
      </c>
      <c r="Y7" s="166">
        <f>D48+H48+L48+P48</f>
        <v/>
      </c>
    </row>
    <row r="8" ht="62" customHeight="1">
      <c r="A8" s="148" t="inlineStr">
        <is>
          <t>BALLI RUS PASTASI</t>
        </is>
      </c>
      <c r="B8" s="255" t="n"/>
      <c r="C8" s="564" t="n"/>
      <c r="D8" s="565" t="n"/>
      <c r="E8" s="109" t="n"/>
      <c r="F8" s="255" t="n"/>
      <c r="G8" s="564" t="n"/>
      <c r="H8" s="565" t="n"/>
      <c r="I8" s="109" t="n"/>
      <c r="J8" s="255" t="n"/>
      <c r="K8" s="564" t="n"/>
      <c r="L8" s="565" t="n"/>
      <c r="M8" s="109" t="n"/>
      <c r="N8" s="255" t="n"/>
      <c r="O8" s="564" t="n"/>
      <c r="P8" s="565" t="n"/>
      <c r="Q8" s="160" t="inlineStr">
        <is>
          <t>BALLI RUS PASTASI</t>
        </is>
      </c>
      <c r="R8" s="317">
        <f>B8+F8+J8+N8</f>
        <v/>
      </c>
      <c r="S8" s="564" t="n"/>
      <c r="T8" s="565" t="n"/>
      <c r="V8" s="167" t="inlineStr">
        <is>
          <t>LİMONLU</t>
        </is>
      </c>
      <c r="W8" s="155">
        <f>B49+F49+J49+N49</f>
        <v/>
      </c>
      <c r="X8" s="155">
        <f>C49+G49+K49+O49</f>
        <v/>
      </c>
      <c r="Y8" s="166">
        <f>D49+H49+L49+P49</f>
        <v/>
      </c>
    </row>
    <row r="9" ht="62" customHeight="1">
      <c r="A9" s="148" t="inlineStr">
        <is>
          <t>FRAİSİER(ÇİLEKLİ BEYAZ)</t>
        </is>
      </c>
      <c r="B9" s="255" t="n"/>
      <c r="C9" s="564" t="n"/>
      <c r="D9" s="565" t="n"/>
      <c r="E9" s="109" t="n"/>
      <c r="F9" s="255" t="n"/>
      <c r="G9" s="564" t="n"/>
      <c r="H9" s="565" t="n"/>
      <c r="I9" s="109" t="n"/>
      <c r="J9" s="255" t="n"/>
      <c r="K9" s="564" t="n"/>
      <c r="L9" s="565" t="n"/>
      <c r="M9" s="109" t="n"/>
      <c r="N9" s="255" t="n"/>
      <c r="O9" s="564" t="n"/>
      <c r="P9" s="565" t="n"/>
      <c r="Q9" s="160" t="inlineStr">
        <is>
          <t>FRAİSİER(ÇİLEKLİ BEYAZ)</t>
        </is>
      </c>
      <c r="R9" s="317">
        <f>B9+F9+J9+N9</f>
        <v/>
      </c>
      <c r="S9" s="564" t="n"/>
      <c r="T9" s="565" t="n"/>
      <c r="V9" s="167" t="inlineStr">
        <is>
          <t>YABAN MERSİNLİ</t>
        </is>
      </c>
      <c r="W9" s="155">
        <f>B50+F50+J50+N50</f>
        <v/>
      </c>
      <c r="X9" s="155">
        <f>C50+G50+K50+O50</f>
        <v/>
      </c>
      <c r="Y9" s="166">
        <f>D50+H50+L50+P50</f>
        <v/>
      </c>
    </row>
    <row r="10" ht="62" customHeight="1">
      <c r="A10" s="148" t="inlineStr">
        <is>
          <t>FRAİSİER(SİYAH)</t>
        </is>
      </c>
      <c r="B10" s="255" t="n"/>
      <c r="C10" s="564" t="n"/>
      <c r="D10" s="565" t="n"/>
      <c r="E10" s="109" t="n"/>
      <c r="F10" s="255" t="n"/>
      <c r="G10" s="564" t="n"/>
      <c r="H10" s="565" t="n"/>
      <c r="I10" s="109" t="n"/>
      <c r="J10" s="255" t="n"/>
      <c r="K10" s="564" t="n"/>
      <c r="L10" s="565" t="n"/>
      <c r="M10" s="109" t="n"/>
      <c r="N10" s="255" t="n"/>
      <c r="O10" s="564" t="n"/>
      <c r="P10" s="565" t="n"/>
      <c r="Q10" s="160" t="inlineStr">
        <is>
          <t>FRAİSİER(SİYAH)</t>
        </is>
      </c>
      <c r="R10" s="317">
        <f>B10+F10+J10+N10</f>
        <v/>
      </c>
      <c r="S10" s="564" t="n"/>
      <c r="T10" s="565" t="n"/>
      <c r="V10" s="167" t="inlineStr">
        <is>
          <t>ÇİKOLATALI</t>
        </is>
      </c>
      <c r="W10" s="155">
        <f>B51+F51+J51+N51</f>
        <v/>
      </c>
      <c r="X10" s="155">
        <f>C51+G51+K51+O51</f>
        <v/>
      </c>
      <c r="Y10" s="166">
        <f>D51+H51+L51+P51</f>
        <v/>
      </c>
    </row>
    <row r="11" ht="62" customHeight="1">
      <c r="A11" s="148" t="inlineStr">
        <is>
          <t>HASBAHÇE</t>
        </is>
      </c>
      <c r="B11" s="255" t="n"/>
      <c r="C11" s="564" t="n"/>
      <c r="D11" s="565" t="n"/>
      <c r="E11" s="109" t="n"/>
      <c r="F11" s="255" t="n"/>
      <c r="G11" s="564" t="n"/>
      <c r="H11" s="565" t="n"/>
      <c r="I11" s="109" t="n"/>
      <c r="J11" s="255" t="n"/>
      <c r="K11" s="564" t="n"/>
      <c r="L11" s="565" t="n"/>
      <c r="M11" s="109" t="n"/>
      <c r="N11" s="255" t="n"/>
      <c r="O11" s="564" t="n"/>
      <c r="P11" s="565" t="n"/>
      <c r="Q11" s="160" t="inlineStr">
        <is>
          <t>HASBAHÇE</t>
        </is>
      </c>
      <c r="R11" s="317">
        <f>B11+F11+J11+N11</f>
        <v/>
      </c>
      <c r="S11" s="564" t="n"/>
      <c r="T11" s="565" t="n"/>
      <c r="V11" s="167" t="inlineStr">
        <is>
          <t>ÇİLEKLİ</t>
        </is>
      </c>
      <c r="W11" s="155">
        <f>B52+F52+J52+N52</f>
        <v/>
      </c>
      <c r="X11" s="155">
        <f>C52+G52+K52+O52</f>
        <v/>
      </c>
      <c r="Y11" s="166">
        <f>D52+H52+L52+P52</f>
        <v/>
      </c>
    </row>
    <row r="12" ht="62" customHeight="1">
      <c r="A12" s="148" t="inlineStr">
        <is>
          <t>VİŞNELİ</t>
        </is>
      </c>
      <c r="B12" s="255" t="n"/>
      <c r="C12" s="564" t="n"/>
      <c r="D12" s="565" t="n"/>
      <c r="E12" s="109" t="n"/>
      <c r="F12" s="255" t="n"/>
      <c r="G12" s="564" t="n"/>
      <c r="H12" s="565" t="n"/>
      <c r="I12" s="109" t="n"/>
      <c r="J12" s="255" t="n"/>
      <c r="K12" s="564" t="n"/>
      <c r="L12" s="565" t="n"/>
      <c r="M12" s="109" t="n"/>
      <c r="N12" s="255" t="n"/>
      <c r="O12" s="564" t="n"/>
      <c r="P12" s="565" t="n"/>
      <c r="Q12" s="160" t="inlineStr">
        <is>
          <t>VİŞNELİ</t>
        </is>
      </c>
      <c r="R12" s="317">
        <f>B12+F12+J12+N12</f>
        <v/>
      </c>
      <c r="S12" s="564" t="n"/>
      <c r="T12" s="565" t="n"/>
      <c r="V12" s="167" t="inlineStr">
        <is>
          <t>LOTUSLU</t>
        </is>
      </c>
      <c r="W12" s="155">
        <f>B53+F53+J53+N53</f>
        <v/>
      </c>
      <c r="X12" s="155">
        <f>C53+G53+K53+O53</f>
        <v/>
      </c>
      <c r="Y12" s="166">
        <f>D53+H53+L53+P53</f>
        <v/>
      </c>
    </row>
    <row r="13" ht="62" customHeight="1" thickBot="1">
      <c r="A13" s="148" t="inlineStr">
        <is>
          <t>PROFİTEROL PASTA</t>
        </is>
      </c>
      <c r="B13" s="255" t="n"/>
      <c r="C13" s="564" t="n"/>
      <c r="D13" s="565" t="n"/>
      <c r="E13" s="109" t="n"/>
      <c r="F13" s="255" t="n"/>
      <c r="G13" s="564" t="n"/>
      <c r="H13" s="565" t="n"/>
      <c r="I13" s="109" t="n"/>
      <c r="J13" s="255" t="n"/>
      <c r="K13" s="564" t="n"/>
      <c r="L13" s="565" t="n"/>
      <c r="M13" s="109" t="n"/>
      <c r="N13" s="255" t="n"/>
      <c r="O13" s="564" t="n"/>
      <c r="P13" s="565" t="n"/>
      <c r="Q13" s="160" t="inlineStr">
        <is>
          <t>PROFİTEROL PASTA</t>
        </is>
      </c>
      <c r="R13" s="317">
        <f>B13+F13+J13+N13</f>
        <v/>
      </c>
      <c r="S13" s="564" t="n"/>
      <c r="T13" s="565" t="n"/>
      <c r="V13" s="168" t="inlineStr">
        <is>
          <t>MANGOLU</t>
        </is>
      </c>
      <c r="W13" s="158">
        <f>B54+F54+J54+N54</f>
        <v/>
      </c>
      <c r="X13" s="158">
        <f>C54+G54+K54+O54</f>
        <v/>
      </c>
      <c r="Y13" s="169">
        <f>D54+H54+L54+P54</f>
        <v/>
      </c>
    </row>
    <row r="14" ht="62" customHeight="1" thickBot="1">
      <c r="A14" s="148" t="inlineStr">
        <is>
          <t>GANAJ</t>
        </is>
      </c>
      <c r="B14" s="255" t="n"/>
      <c r="C14" s="564" t="n"/>
      <c r="D14" s="565" t="n"/>
      <c r="E14" s="109" t="n"/>
      <c r="F14" s="255" t="n"/>
      <c r="G14" s="564" t="n"/>
      <c r="H14" s="565" t="n"/>
      <c r="I14" s="109" t="n"/>
      <c r="J14" s="255" t="n"/>
      <c r="K14" s="564" t="n"/>
      <c r="L14" s="565" t="n"/>
      <c r="M14" s="109" t="n"/>
      <c r="N14" s="255" t="n"/>
      <c r="O14" s="564" t="n"/>
      <c r="P14" s="565" t="n"/>
      <c r="Q14" s="160" t="inlineStr">
        <is>
          <t>GANAJ</t>
        </is>
      </c>
      <c r="R14" s="317">
        <f>B14+F14+J14+N14</f>
        <v/>
      </c>
      <c r="S14" s="564" t="n"/>
      <c r="T14" s="565" t="n"/>
      <c r="V14" s="170" t="inlineStr">
        <is>
          <t>toplam</t>
        </is>
      </c>
      <c r="W14" s="171">
        <f>SUM(W7:W13)</f>
        <v/>
      </c>
      <c r="X14" s="171">
        <f>SUM(X7:X13)</f>
        <v/>
      </c>
      <c r="Y14" s="171">
        <f>SUM(Y7:Y13)</f>
        <v/>
      </c>
    </row>
    <row r="15" ht="62" customHeight="1">
      <c r="A15" s="148" t="inlineStr">
        <is>
          <t>FRAMBUAZ SİYAH</t>
        </is>
      </c>
      <c r="B15" s="255" t="n"/>
      <c r="C15" s="564" t="n"/>
      <c r="D15" s="565" t="n"/>
      <c r="E15" s="109" t="n"/>
      <c r="F15" s="255" t="n"/>
      <c r="G15" s="564" t="n"/>
      <c r="H15" s="565" t="n"/>
      <c r="I15" s="109" t="n"/>
      <c r="J15" s="255" t="n"/>
      <c r="K15" s="564" t="n"/>
      <c r="L15" s="565" t="n"/>
      <c r="M15" s="109" t="n"/>
      <c r="N15" s="255" t="n"/>
      <c r="O15" s="564" t="n"/>
      <c r="P15" s="565" t="n"/>
      <c r="Q15" s="160" t="inlineStr">
        <is>
          <t>FRAMBUAZ SİYAH</t>
        </is>
      </c>
      <c r="R15" s="317">
        <f>B15+F15+J15+N15</f>
        <v/>
      </c>
      <c r="S15" s="564" t="n"/>
      <c r="T15" s="565" t="n"/>
    </row>
    <row r="16" ht="62" customHeight="1">
      <c r="A16" s="148" t="inlineStr">
        <is>
          <t>FRAMBUAZ BEYAZ</t>
        </is>
      </c>
      <c r="B16" s="255" t="n"/>
      <c r="C16" s="564" t="n"/>
      <c r="D16" s="565" t="n"/>
      <c r="E16" s="109" t="n"/>
      <c r="F16" s="255" t="n"/>
      <c r="G16" s="564" t="n"/>
      <c r="H16" s="565" t="n"/>
      <c r="I16" s="109" t="n"/>
      <c r="J16" s="255" t="n"/>
      <c r="K16" s="564" t="n"/>
      <c r="L16" s="565" t="n"/>
      <c r="M16" s="109" t="n"/>
      <c r="N16" s="255" t="n"/>
      <c r="O16" s="564" t="n"/>
      <c r="P16" s="565" t="n"/>
      <c r="Q16" s="160" t="inlineStr">
        <is>
          <t>FRAMBUAZ BEYAZ</t>
        </is>
      </c>
      <c r="R16" s="317">
        <f>B16+F16+J16+N16</f>
        <v/>
      </c>
      <c r="S16" s="564" t="n"/>
      <c r="T16" s="565" t="n"/>
    </row>
    <row r="17" ht="62" customHeight="1">
      <c r="A17" s="148" t="inlineStr">
        <is>
          <t>KARAMEL BANANA</t>
        </is>
      </c>
      <c r="B17" s="255" t="n"/>
      <c r="C17" s="564" t="n"/>
      <c r="D17" s="565" t="n"/>
      <c r="E17" s="109" t="n"/>
      <c r="F17" s="255" t="n"/>
      <c r="G17" s="564" t="n"/>
      <c r="H17" s="565" t="n"/>
      <c r="I17" s="109" t="n"/>
      <c r="J17" s="255" t="n"/>
      <c r="K17" s="564" t="n"/>
      <c r="L17" s="565" t="n"/>
      <c r="M17" s="109" t="n"/>
      <c r="N17" s="255" t="n"/>
      <c r="O17" s="564" t="n"/>
      <c r="P17" s="565" t="n"/>
      <c r="Q17" s="160" t="inlineStr">
        <is>
          <t>KARAMEL BANANA</t>
        </is>
      </c>
      <c r="R17" s="317">
        <f>B17+F17+J17+N17</f>
        <v/>
      </c>
      <c r="S17" s="564" t="n"/>
      <c r="T17" s="565" t="n"/>
    </row>
    <row r="18" ht="62" customHeight="1">
      <c r="A18" s="148" t="inlineStr">
        <is>
          <t>KESTANELİ PASTA</t>
        </is>
      </c>
      <c r="B18" s="255" t="n"/>
      <c r="C18" s="564" t="n"/>
      <c r="D18" s="565" t="n"/>
      <c r="E18" s="109" t="n"/>
      <c r="F18" s="255" t="n"/>
      <c r="G18" s="564" t="n"/>
      <c r="H18" s="565" t="n"/>
      <c r="I18" s="109" t="n"/>
      <c r="J18" s="255" t="n"/>
      <c r="K18" s="564" t="n"/>
      <c r="L18" s="565" t="n"/>
      <c r="M18" s="109" t="n"/>
      <c r="N18" s="255" t="n"/>
      <c r="O18" s="564" t="n"/>
      <c r="P18" s="565" t="n"/>
      <c r="Q18" s="160" t="inlineStr">
        <is>
          <t>KESTANELİ PASTA</t>
        </is>
      </c>
      <c r="R18" s="317">
        <f>B18+F18+J18+N18</f>
        <v/>
      </c>
      <c r="S18" s="564" t="n"/>
      <c r="T18" s="565" t="n"/>
    </row>
    <row r="19" ht="62" customHeight="1">
      <c r="A19" s="148" t="inlineStr">
        <is>
          <t>FISTIKLI PASTA</t>
        </is>
      </c>
      <c r="B19" s="255" t="n"/>
      <c r="C19" s="564" t="n"/>
      <c r="D19" s="565" t="n"/>
      <c r="E19" s="109" t="n"/>
      <c r="F19" s="255" t="n"/>
      <c r="G19" s="564" t="n"/>
      <c r="H19" s="565" t="n"/>
      <c r="I19" s="109" t="n"/>
      <c r="J19" s="255" t="n"/>
      <c r="K19" s="564" t="n"/>
      <c r="L19" s="565" t="n"/>
      <c r="M19" s="109" t="n"/>
      <c r="N19" s="255" t="n"/>
      <c r="O19" s="564" t="n"/>
      <c r="P19" s="565" t="n"/>
      <c r="Q19" s="160" t="inlineStr">
        <is>
          <t>FISTIKLI PASTA</t>
        </is>
      </c>
      <c r="R19" s="317">
        <f>B19+F19+J19+N19</f>
        <v/>
      </c>
      <c r="S19" s="564" t="n"/>
      <c r="T19" s="565" t="n"/>
    </row>
    <row r="20" ht="62" customHeight="1">
      <c r="A20" s="148" t="inlineStr">
        <is>
          <t>PORTAKAL KÜP</t>
        </is>
      </c>
      <c r="B20" s="255" t="n"/>
      <c r="C20" s="564" t="n"/>
      <c r="D20" s="565" t="n"/>
      <c r="E20" s="109" t="n"/>
      <c r="F20" s="255" t="n"/>
      <c r="G20" s="564" t="n"/>
      <c r="H20" s="565" t="n"/>
      <c r="I20" s="109" t="n"/>
      <c r="J20" s="255" t="n"/>
      <c r="K20" s="564" t="n"/>
      <c r="L20" s="565" t="n"/>
      <c r="M20" s="109" t="n"/>
      <c r="N20" s="255" t="n"/>
      <c r="O20" s="564" t="n"/>
      <c r="P20" s="565" t="n"/>
      <c r="Q20" s="160" t="inlineStr">
        <is>
          <t>PORTAKAL KÜP</t>
        </is>
      </c>
      <c r="R20" s="317">
        <f>B20+F20+J20+N20</f>
        <v/>
      </c>
      <c r="S20" s="564" t="n"/>
      <c r="T20" s="565" t="n"/>
    </row>
    <row r="21" ht="62" customHeight="1">
      <c r="A21" s="148" t="inlineStr">
        <is>
          <t>SNİCKERS</t>
        </is>
      </c>
      <c r="B21" s="255" t="n"/>
      <c r="C21" s="564" t="n"/>
      <c r="D21" s="565" t="n"/>
      <c r="E21" s="109" t="n"/>
      <c r="F21" s="255" t="n"/>
      <c r="G21" s="564" t="n"/>
      <c r="H21" s="565" t="n"/>
      <c r="I21" s="109" t="n"/>
      <c r="J21" s="255" t="n"/>
      <c r="K21" s="564" t="n"/>
      <c r="L21" s="565" t="n"/>
      <c r="M21" s="109" t="n"/>
      <c r="N21" s="255" t="n"/>
      <c r="O21" s="564" t="n"/>
      <c r="P21" s="565" t="n"/>
      <c r="Q21" s="160" t="inlineStr">
        <is>
          <t>SNİCKERS</t>
        </is>
      </c>
      <c r="R21" s="317">
        <f>B21+F21+J21+N21</f>
        <v/>
      </c>
      <c r="S21" s="564" t="n"/>
      <c r="T21" s="565" t="n"/>
    </row>
    <row r="22" ht="62" customHeight="1">
      <c r="A22" s="148" t="inlineStr">
        <is>
          <t>LİMONLU YAZ PASTASI</t>
        </is>
      </c>
      <c r="B22" s="255" t="n"/>
      <c r="C22" s="564" t="n"/>
      <c r="D22" s="565" t="n"/>
      <c r="E22" s="109" t="n"/>
      <c r="F22" s="255" t="n"/>
      <c r="G22" s="564" t="n"/>
      <c r="H22" s="565" t="n"/>
      <c r="I22" s="109" t="n"/>
      <c r="J22" s="255" t="n"/>
      <c r="K22" s="564" t="n"/>
      <c r="L22" s="565" t="n"/>
      <c r="M22" s="109" t="n"/>
      <c r="N22" s="255" t="n"/>
      <c r="O22" s="564" t="n"/>
      <c r="P22" s="565" t="n"/>
      <c r="Q22" s="160" t="inlineStr">
        <is>
          <t>LİMONLU YAZ PASTASI</t>
        </is>
      </c>
      <c r="R22" s="317">
        <f>B22+F22+J22+N22</f>
        <v/>
      </c>
      <c r="S22" s="564" t="n"/>
      <c r="T22" s="565" t="n"/>
    </row>
    <row r="23" ht="62" customHeight="1">
      <c r="A23" s="148" t="inlineStr">
        <is>
          <t>MANGOLU PASTA</t>
        </is>
      </c>
      <c r="B23" s="255" t="n"/>
      <c r="C23" s="564" t="n"/>
      <c r="D23" s="565" t="n"/>
      <c r="E23" s="109" t="n"/>
      <c r="F23" s="255" t="n"/>
      <c r="G23" s="564" t="n"/>
      <c r="H23" s="565" t="n"/>
      <c r="I23" s="109" t="n"/>
      <c r="J23" s="255" t="n"/>
      <c r="K23" s="564" t="n"/>
      <c r="L23" s="565" t="n"/>
      <c r="M23" s="109" t="n"/>
      <c r="N23" s="255" t="n"/>
      <c r="O23" s="564" t="n"/>
      <c r="P23" s="565" t="n"/>
      <c r="Q23" s="160" t="inlineStr">
        <is>
          <t>MANGOLU PASTA</t>
        </is>
      </c>
      <c r="R23" s="317">
        <f>B23+F23+J23+N23</f>
        <v/>
      </c>
      <c r="S23" s="564" t="n"/>
      <c r="T23" s="565" t="n"/>
    </row>
    <row r="24" ht="62" customHeight="1">
      <c r="A24" s="148" t="inlineStr">
        <is>
          <t>GLUTENSİZ ÇİKOLATALI PASTA</t>
        </is>
      </c>
      <c r="B24" s="255" t="n"/>
      <c r="C24" s="564" t="n"/>
      <c r="D24" s="565" t="n"/>
      <c r="E24" s="109" t="n"/>
      <c r="F24" s="255" t="n"/>
      <c r="G24" s="564" t="n"/>
      <c r="H24" s="565" t="n"/>
      <c r="I24" s="109" t="n"/>
      <c r="J24" s="255" t="n"/>
      <c r="K24" s="564" t="n"/>
      <c r="L24" s="565" t="n"/>
      <c r="M24" s="109" t="n"/>
      <c r="N24" s="255" t="n"/>
      <c r="O24" s="564" t="n"/>
      <c r="P24" s="565" t="n"/>
      <c r="Q24" s="160" t="inlineStr">
        <is>
          <t>GLUTENSİZ ÇİKOLATALI PASTA</t>
        </is>
      </c>
      <c r="R24" s="317">
        <f>B24+F24+J24+N24</f>
        <v/>
      </c>
      <c r="S24" s="564" t="n"/>
      <c r="T24" s="565" t="n"/>
    </row>
    <row r="25" ht="62" customHeight="1">
      <c r="A25" s="147" t="inlineStr">
        <is>
          <t>PANNA COTTA MANGO</t>
        </is>
      </c>
      <c r="B25" s="255" t="n"/>
      <c r="C25" s="564" t="n"/>
      <c r="D25" s="565" t="n"/>
      <c r="E25" s="109" t="n"/>
      <c r="F25" s="255" t="n"/>
      <c r="G25" s="564" t="n"/>
      <c r="H25" s="565" t="n"/>
      <c r="I25" s="109" t="n"/>
      <c r="J25" s="255" t="n"/>
      <c r="K25" s="564" t="n"/>
      <c r="L25" s="565" t="n"/>
      <c r="M25" s="109" t="n"/>
      <c r="N25" s="255" t="n"/>
      <c r="O25" s="564" t="n"/>
      <c r="P25" s="565" t="n"/>
      <c r="Q25" s="320" t="inlineStr">
        <is>
          <t>PANNA COTTA ŞEFTALİ</t>
        </is>
      </c>
      <c r="R25" s="317">
        <f>B25+F25+J25+N25</f>
        <v/>
      </c>
      <c r="S25" s="564" t="n"/>
      <c r="T25" s="565" t="n"/>
    </row>
    <row r="26" ht="62" customHeight="1">
      <c r="A26" s="147" t="inlineStr">
        <is>
          <t>PANNA COTTA FRAMBUAZ</t>
        </is>
      </c>
      <c r="B26" s="255" t="n"/>
      <c r="C26" s="564" t="n"/>
      <c r="D26" s="565" t="n"/>
      <c r="E26" s="109" t="n"/>
      <c r="F26" s="255" t="n"/>
      <c r="G26" s="564" t="n"/>
      <c r="H26" s="565" t="n"/>
      <c r="I26" s="109" t="n"/>
      <c r="J26" s="255" t="n"/>
      <c r="K26" s="564" t="n"/>
      <c r="L26" s="565" t="n"/>
      <c r="M26" s="109" t="n"/>
      <c r="N26" s="255" t="n"/>
      <c r="O26" s="564" t="n"/>
      <c r="P26" s="565" t="n"/>
      <c r="Q26" s="320" t="inlineStr">
        <is>
          <t>PANNA COTTA FRAMBUAZ</t>
        </is>
      </c>
      <c r="R26" s="317">
        <f>B26+F26+J26+N26</f>
        <v/>
      </c>
      <c r="S26" s="564" t="n"/>
      <c r="T26" s="565" t="n"/>
    </row>
    <row r="27" ht="62" customHeight="1">
      <c r="A27" s="147" t="inlineStr">
        <is>
          <t>PORTAKALLI FİT KEK</t>
        </is>
      </c>
      <c r="B27" s="255" t="n"/>
      <c r="C27" s="564" t="n"/>
      <c r="D27" s="565" t="n"/>
      <c r="E27" s="109" t="n"/>
      <c r="F27" s="255" t="n"/>
      <c r="G27" s="564" t="n"/>
      <c r="H27" s="565" t="n"/>
      <c r="I27" s="109" t="n"/>
      <c r="J27" s="255" t="n"/>
      <c r="K27" s="564" t="n"/>
      <c r="L27" s="565" t="n"/>
      <c r="M27" s="109" t="n"/>
      <c r="N27" s="255" t="n"/>
      <c r="O27" s="564" t="n"/>
      <c r="P27" s="565" t="n"/>
      <c r="Q27" s="320" t="inlineStr">
        <is>
          <t>PORTAKALLI FİT KEK</t>
        </is>
      </c>
      <c r="R27" s="317">
        <f>B27+F27+J27+N27</f>
        <v/>
      </c>
      <c r="S27" s="564" t="n"/>
      <c r="T27" s="565" t="n"/>
    </row>
    <row r="28" ht="62" customHeight="1">
      <c r="A28" s="147" t="inlineStr">
        <is>
          <t>YABAN MERSİNLİ</t>
        </is>
      </c>
      <c r="B28" s="255" t="n"/>
      <c r="C28" s="564" t="n"/>
      <c r="D28" s="565" t="n"/>
      <c r="E28" s="109" t="n"/>
      <c r="F28" s="255" t="n"/>
      <c r="G28" s="564" t="n"/>
      <c r="H28" s="565" t="n"/>
      <c r="I28" s="109" t="n"/>
      <c r="J28" s="255" t="n"/>
      <c r="K28" s="564" t="n"/>
      <c r="L28" s="565" t="n"/>
      <c r="M28" s="109" t="n"/>
      <c r="N28" s="255" t="n"/>
      <c r="O28" s="564" t="n"/>
      <c r="P28" s="565" t="n"/>
      <c r="Q28" s="320" t="inlineStr">
        <is>
          <t>YABAN MERSİNLİ</t>
        </is>
      </c>
      <c r="R28" s="317">
        <f>B28+F28+J28+N28</f>
        <v/>
      </c>
      <c r="S28" s="564" t="n"/>
      <c r="T28" s="565" t="n"/>
    </row>
    <row r="29" ht="62" customHeight="1">
      <c r="A29" s="148" t="inlineStr">
        <is>
          <t>ÇİLEKLİ TART</t>
        </is>
      </c>
      <c r="B29" s="255" t="n"/>
      <c r="C29" s="564" t="n"/>
      <c r="D29" s="565" t="n"/>
      <c r="E29" s="109" t="n"/>
      <c r="F29" s="255" t="n"/>
      <c r="G29" s="564" t="n"/>
      <c r="H29" s="565" t="n"/>
      <c r="I29" s="109" t="n"/>
      <c r="J29" s="255" t="n"/>
      <c r="K29" s="564" t="n"/>
      <c r="L29" s="565" t="n"/>
      <c r="M29" s="109" t="n"/>
      <c r="N29" s="255" t="n"/>
      <c r="O29" s="564" t="n"/>
      <c r="P29" s="565" t="n"/>
      <c r="Q29" s="160" t="inlineStr">
        <is>
          <t>ÇİLEKLİ TART</t>
        </is>
      </c>
      <c r="R29" s="317">
        <f>B29+F29+J29+N29</f>
        <v/>
      </c>
      <c r="S29" s="564" t="n"/>
      <c r="T29" s="565" t="n"/>
    </row>
    <row r="30" ht="62" customHeight="1">
      <c r="A30" s="149" t="inlineStr">
        <is>
          <t>FRANSIZ EKLER</t>
        </is>
      </c>
      <c r="B30" s="300" t="n"/>
      <c r="C30" s="564" t="n"/>
      <c r="D30" s="565" t="n"/>
      <c r="E30" s="151" t="n"/>
      <c r="F30" s="300" t="n"/>
      <c r="G30" s="564" t="n"/>
      <c r="H30" s="565" t="n"/>
      <c r="I30" s="151" t="n"/>
      <c r="J30" s="300" t="n"/>
      <c r="K30" s="564" t="n"/>
      <c r="L30" s="565" t="n"/>
      <c r="M30" s="151" t="n"/>
      <c r="N30" s="300" t="n"/>
      <c r="O30" s="564" t="n"/>
      <c r="P30" s="565" t="n"/>
      <c r="Q30" s="161" t="inlineStr">
        <is>
          <t>FRANSIZ EKLER</t>
        </is>
      </c>
      <c r="R30" s="323" t="n"/>
      <c r="S30" s="564" t="n"/>
      <c r="T30" s="565" t="n"/>
    </row>
    <row r="31" ht="62" customHeight="1">
      <c r="A31" s="147" t="inlineStr">
        <is>
          <t>ÇİKOLATALI EKLER</t>
        </is>
      </c>
      <c r="B31" s="566" t="n"/>
      <c r="C31" s="564" t="n"/>
      <c r="D31" s="565" t="n"/>
      <c r="E31" s="109" t="n"/>
      <c r="F31" s="255" t="n"/>
      <c r="G31" s="564" t="n"/>
      <c r="H31" s="565" t="n"/>
      <c r="I31" s="109" t="n"/>
      <c r="J31" s="255" t="n"/>
      <c r="K31" s="564" t="n"/>
      <c r="L31" s="565" t="n"/>
      <c r="M31" s="109" t="n"/>
      <c r="N31" s="255" t="n"/>
      <c r="O31" s="564" t="n"/>
      <c r="P31" s="565" t="n"/>
      <c r="Q31" s="320" t="inlineStr">
        <is>
          <t>ÇİKOLATALI EKLER</t>
        </is>
      </c>
      <c r="R31" s="317">
        <f>B31+F31+J31+N31</f>
        <v/>
      </c>
      <c r="S31" s="564" t="n"/>
      <c r="T31" s="565" t="n"/>
    </row>
    <row r="32" ht="62" customHeight="1">
      <c r="A32" s="147" t="inlineStr">
        <is>
          <t>TİRAMİSULU EKLER</t>
        </is>
      </c>
      <c r="B32" s="566" t="n"/>
      <c r="C32" s="564" t="n"/>
      <c r="D32" s="565" t="n"/>
      <c r="E32" s="109" t="n"/>
      <c r="F32" s="255" t="n"/>
      <c r="G32" s="564" t="n"/>
      <c r="H32" s="565" t="n"/>
      <c r="I32" s="109" t="n"/>
      <c r="J32" s="255" t="n"/>
      <c r="K32" s="564" t="n"/>
      <c r="L32" s="565" t="n"/>
      <c r="M32" s="109" t="n"/>
      <c r="N32" s="255" t="n"/>
      <c r="O32" s="564" t="n"/>
      <c r="P32" s="565" t="n"/>
      <c r="Q32" s="320" t="inlineStr">
        <is>
          <t>TİRAMİSULU EKLER</t>
        </is>
      </c>
      <c r="R32" s="317">
        <f>B32+F32+J32+N32</f>
        <v/>
      </c>
      <c r="S32" s="564" t="n"/>
      <c r="T32" s="565" t="n"/>
    </row>
    <row r="33" ht="62" customHeight="1">
      <c r="A33" s="147" t="inlineStr">
        <is>
          <t>FRAMBUAZLI EKLER</t>
        </is>
      </c>
      <c r="B33" s="566" t="n"/>
      <c r="C33" s="564" t="n"/>
      <c r="D33" s="565" t="n"/>
      <c r="E33" s="109" t="n"/>
      <c r="F33" s="255" t="n"/>
      <c r="G33" s="564" t="n"/>
      <c r="H33" s="565" t="n"/>
      <c r="I33" s="109" t="n"/>
      <c r="J33" s="255" t="n"/>
      <c r="K33" s="564" t="n"/>
      <c r="L33" s="565" t="n"/>
      <c r="M33" s="109" t="n"/>
      <c r="N33" s="255" t="n"/>
      <c r="O33" s="564" t="n"/>
      <c r="P33" s="565" t="n"/>
      <c r="Q33" s="320" t="inlineStr">
        <is>
          <t>FRAMBUAZLI EKLER</t>
        </is>
      </c>
      <c r="R33" s="317">
        <f>B33+F33+J33+N33</f>
        <v/>
      </c>
      <c r="S33" s="564" t="n"/>
      <c r="T33" s="565" t="n"/>
    </row>
    <row r="34" ht="62" customHeight="1">
      <c r="A34" s="147" t="inlineStr">
        <is>
          <t>FISTIKLI EKLER</t>
        </is>
      </c>
      <c r="B34" s="566" t="n"/>
      <c r="C34" s="564" t="n"/>
      <c r="D34" s="565" t="n"/>
      <c r="E34" s="109" t="n"/>
      <c r="F34" s="255" t="n"/>
      <c r="G34" s="564" t="n"/>
      <c r="H34" s="565" t="n"/>
      <c r="I34" s="109" t="n"/>
      <c r="J34" s="255" t="n"/>
      <c r="K34" s="564" t="n"/>
      <c r="L34" s="565" t="n"/>
      <c r="M34" s="109" t="n"/>
      <c r="N34" s="255" t="n"/>
      <c r="O34" s="564" t="n"/>
      <c r="P34" s="565" t="n"/>
      <c r="Q34" s="320" t="inlineStr">
        <is>
          <t>FISTIKLI EKLER</t>
        </is>
      </c>
      <c r="R34" s="317">
        <f>B34+F34+J34+N34</f>
        <v/>
      </c>
      <c r="S34" s="564" t="n"/>
      <c r="T34" s="565" t="n"/>
    </row>
    <row r="35" ht="62" customHeight="1">
      <c r="A35" s="147" t="inlineStr">
        <is>
          <t>KARAMEL EKLER</t>
        </is>
      </c>
      <c r="B35" s="566" t="n"/>
      <c r="C35" s="564" t="n"/>
      <c r="D35" s="565" t="n"/>
      <c r="E35" s="109" t="n"/>
      <c r="F35" s="255" t="n"/>
      <c r="G35" s="564" t="n"/>
      <c r="H35" s="565" t="n"/>
      <c r="I35" s="109" t="n"/>
      <c r="J35" s="255" t="n"/>
      <c r="K35" s="564" t="n"/>
      <c r="L35" s="565" t="n"/>
      <c r="M35" s="109" t="n"/>
      <c r="N35" s="255" t="n"/>
      <c r="O35" s="564" t="n"/>
      <c r="P35" s="565" t="n"/>
      <c r="Q35" s="320" t="inlineStr">
        <is>
          <t>KARAMEL EKLER</t>
        </is>
      </c>
      <c r="R35" s="317">
        <f>B35+F35+J35+N35</f>
        <v/>
      </c>
      <c r="S35" s="564" t="n"/>
      <c r="T35" s="565" t="n"/>
    </row>
    <row r="36" ht="62" customHeight="1">
      <c r="A36" s="147" t="inlineStr">
        <is>
          <t>LAVANTA EKLER</t>
        </is>
      </c>
      <c r="B36" s="566" t="n"/>
      <c r="C36" s="564" t="n"/>
      <c r="D36" s="565" t="n"/>
      <c r="E36" s="109" t="n"/>
      <c r="F36" s="255" t="n"/>
      <c r="G36" s="564" t="n"/>
      <c r="H36" s="565" t="n"/>
      <c r="I36" s="109" t="n"/>
      <c r="J36" s="255" t="n"/>
      <c r="K36" s="564" t="n"/>
      <c r="L36" s="565" t="n"/>
      <c r="M36" s="109" t="n"/>
      <c r="N36" s="255" t="n"/>
      <c r="O36" s="564" t="n"/>
      <c r="P36" s="565" t="n"/>
      <c r="Q36" s="320" t="inlineStr">
        <is>
          <t>LAVANTA EKLER</t>
        </is>
      </c>
      <c r="R36" s="317">
        <f>B36+F36+J36+N36</f>
        <v/>
      </c>
      <c r="S36" s="564" t="n"/>
      <c r="T36" s="565" t="n"/>
    </row>
    <row r="37" ht="62" customHeight="1">
      <c r="A37" s="147" t="inlineStr">
        <is>
          <t>LİMONLU EKLER</t>
        </is>
      </c>
      <c r="B37" s="566" t="n"/>
      <c r="C37" s="564" t="n"/>
      <c r="D37" s="565" t="n"/>
      <c r="E37" s="109" t="n"/>
      <c r="F37" s="255" t="n"/>
      <c r="G37" s="564" t="n"/>
      <c r="H37" s="565" t="n"/>
      <c r="I37" s="109" t="n"/>
      <c r="J37" s="255" t="n"/>
      <c r="K37" s="564" t="n"/>
      <c r="L37" s="565" t="n"/>
      <c r="M37" s="109" t="n"/>
      <c r="N37" s="255" t="n"/>
      <c r="O37" s="564" t="n"/>
      <c r="P37" s="565" t="n"/>
      <c r="Q37" s="320" t="inlineStr">
        <is>
          <t>LİMONLU EKLER</t>
        </is>
      </c>
      <c r="R37" s="317">
        <f>B37+F37+J37+N37</f>
        <v/>
      </c>
      <c r="S37" s="564" t="n"/>
      <c r="T37" s="565" t="n"/>
    </row>
    <row r="38" ht="20" customHeight="1">
      <c r="A38" s="300" t="n"/>
      <c r="B38" s="300" t="n"/>
      <c r="C38" s="564" t="n"/>
      <c r="D38" s="565" t="n"/>
      <c r="E38" s="151" t="n"/>
      <c r="F38" s="300" t="n"/>
      <c r="G38" s="564" t="n"/>
      <c r="H38" s="565" t="n"/>
      <c r="I38" s="151" t="n"/>
      <c r="J38" s="300" t="n"/>
      <c r="K38" s="564" t="n"/>
      <c r="L38" s="565" t="n"/>
      <c r="M38" s="151" t="n"/>
      <c r="N38" s="300" t="n"/>
      <c r="O38" s="564" t="n"/>
      <c r="P38" s="565" t="n"/>
      <c r="Q38" s="323" t="n"/>
      <c r="R38" s="324" t="n"/>
      <c r="S38" s="564" t="n"/>
      <c r="T38" s="565" t="n"/>
    </row>
    <row r="39" ht="62" customHeight="1">
      <c r="A39" s="147" t="inlineStr">
        <is>
          <t>ÇİLEKLİ MİLFÖY</t>
        </is>
      </c>
      <c r="B39" s="255" t="n"/>
      <c r="C39" s="564" t="n"/>
      <c r="D39" s="565" t="n"/>
      <c r="E39" s="109" t="n"/>
      <c r="F39" s="255" t="n"/>
      <c r="G39" s="564" t="n"/>
      <c r="H39" s="565" t="n"/>
      <c r="I39" s="109" t="n"/>
      <c r="J39" s="255" t="n"/>
      <c r="K39" s="564" t="n"/>
      <c r="L39" s="565" t="n"/>
      <c r="M39" s="109" t="n"/>
      <c r="N39" s="255" t="n"/>
      <c r="O39" s="564" t="n"/>
      <c r="P39" s="565" t="n"/>
      <c r="Q39" s="320" t="inlineStr">
        <is>
          <t>ÇİLEKLİ MİLFÖY</t>
        </is>
      </c>
      <c r="R39" s="320">
        <f>B39+F39+J39+N39</f>
        <v/>
      </c>
      <c r="S39" s="564" t="n"/>
      <c r="T39" s="565" t="n"/>
    </row>
    <row r="40" ht="62" customHeight="1">
      <c r="A40" s="300" t="inlineStr">
        <is>
          <t xml:space="preserve">DİLİM CHEESCAKE </t>
        </is>
      </c>
      <c r="B40" s="300" t="n"/>
      <c r="C40" s="564" t="n"/>
      <c r="D40" s="565" t="n"/>
      <c r="E40" s="151" t="n"/>
      <c r="F40" s="300" t="n"/>
      <c r="G40" s="564" t="n"/>
      <c r="H40" s="565" t="n"/>
      <c r="I40" s="151" t="n"/>
      <c r="J40" s="300" t="n"/>
      <c r="K40" s="564" t="n"/>
      <c r="L40" s="565" t="n"/>
      <c r="M40" s="151" t="n"/>
      <c r="N40" s="300" t="n"/>
      <c r="O40" s="564" t="n"/>
      <c r="P40" s="565" t="n"/>
      <c r="Q40" s="323" t="inlineStr">
        <is>
          <t xml:space="preserve">DİLİM CHEESCAKE </t>
        </is>
      </c>
      <c r="R40" s="323" t="n"/>
      <c r="S40" s="564" t="n"/>
      <c r="T40" s="565" t="n"/>
    </row>
    <row r="41" ht="62" customHeight="1">
      <c r="A41" s="147" t="inlineStr">
        <is>
          <t>FRAMBUAZLI DİLİM</t>
        </is>
      </c>
      <c r="B41" s="255" t="n"/>
      <c r="C41" s="564" t="n"/>
      <c r="D41" s="565" t="n"/>
      <c r="E41" s="109" t="n"/>
      <c r="F41" s="255" t="n"/>
      <c r="G41" s="564" t="n"/>
      <c r="H41" s="565" t="n"/>
      <c r="I41" s="109" t="n"/>
      <c r="J41" s="255" t="n"/>
      <c r="K41" s="564" t="n"/>
      <c r="L41" s="565" t="n"/>
      <c r="M41" s="109" t="n"/>
      <c r="N41" s="255" t="n"/>
      <c r="O41" s="564" t="n"/>
      <c r="P41" s="565" t="n"/>
      <c r="Q41" s="320" t="inlineStr">
        <is>
          <t>FRAMBUAZLI DİLİM</t>
        </is>
      </c>
      <c r="R41" s="320">
        <f>B41+F41+J41+N41</f>
        <v/>
      </c>
      <c r="S41" s="564" t="n"/>
      <c r="T41" s="565" t="n"/>
    </row>
    <row r="42" ht="62" customHeight="1">
      <c r="A42" s="147" t="inlineStr">
        <is>
          <t>LİMONLU DİLİM</t>
        </is>
      </c>
      <c r="B42" s="255" t="n"/>
      <c r="C42" s="564" t="n"/>
      <c r="D42" s="565" t="n"/>
      <c r="E42" s="109" t="n"/>
      <c r="F42" s="255" t="n"/>
      <c r="G42" s="564" t="n"/>
      <c r="H42" s="565" t="n"/>
      <c r="I42" s="109" t="n"/>
      <c r="J42" s="255" t="n"/>
      <c r="K42" s="564" t="n"/>
      <c r="L42" s="565" t="n"/>
      <c r="M42" s="109" t="n"/>
      <c r="N42" s="255" t="n"/>
      <c r="O42" s="564" t="n"/>
      <c r="P42" s="565" t="n"/>
      <c r="Q42" s="320" t="inlineStr">
        <is>
          <t>LİMONLU DİLİM</t>
        </is>
      </c>
      <c r="R42" s="320">
        <f>B42+F42+J42+N42</f>
        <v/>
      </c>
      <c r="S42" s="564" t="n"/>
      <c r="T42" s="565" t="n"/>
    </row>
    <row r="43" ht="62" customHeight="1">
      <c r="A43" s="147" t="inlineStr">
        <is>
          <t>ÇİKOLATALI DİLİM</t>
        </is>
      </c>
      <c r="B43" s="255" t="n"/>
      <c r="C43" s="564" t="n"/>
      <c r="D43" s="565" t="n"/>
      <c r="E43" s="109" t="n"/>
      <c r="F43" s="255" t="n"/>
      <c r="G43" s="564" t="n"/>
      <c r="H43" s="565" t="n"/>
      <c r="I43" s="109" t="n"/>
      <c r="J43" s="255" t="n"/>
      <c r="K43" s="564" t="n"/>
      <c r="L43" s="565" t="n"/>
      <c r="M43" s="109" t="n"/>
      <c r="N43" s="255" t="n"/>
      <c r="O43" s="564" t="n"/>
      <c r="P43" s="565" t="n"/>
      <c r="Q43" s="320" t="inlineStr">
        <is>
          <t>ÇİKOLATALI DİLİM</t>
        </is>
      </c>
      <c r="R43" s="320">
        <f>B43+F43+J43+N43</f>
        <v/>
      </c>
      <c r="S43" s="564" t="n"/>
      <c r="T43" s="565" t="n"/>
    </row>
    <row r="44" ht="62" customHeight="1">
      <c r="A44" s="147" t="inlineStr">
        <is>
          <t>ÇİLEKLİ DİLİM</t>
        </is>
      </c>
      <c r="B44" s="255" t="n"/>
      <c r="C44" s="564" t="n"/>
      <c r="D44" s="565" t="n"/>
      <c r="E44" s="109" t="n"/>
      <c r="F44" s="255" t="n"/>
      <c r="G44" s="564" t="n"/>
      <c r="H44" s="565" t="n"/>
      <c r="I44" s="109" t="n"/>
      <c r="J44" s="255" t="n"/>
      <c r="K44" s="564" t="n"/>
      <c r="L44" s="565" t="n"/>
      <c r="M44" s="109" t="n"/>
      <c r="N44" s="255" t="n"/>
      <c r="O44" s="564" t="n"/>
      <c r="P44" s="565" t="n"/>
      <c r="Q44" s="320" t="inlineStr">
        <is>
          <t>ÇİLEKLİ DİLİM</t>
        </is>
      </c>
      <c r="R44" s="320">
        <f>B44+F44+J44+N44</f>
        <v/>
      </c>
      <c r="S44" s="564" t="n"/>
      <c r="T44" s="565" t="n"/>
    </row>
    <row r="45" ht="62" customHeight="1">
      <c r="A45" s="147" t="inlineStr">
        <is>
          <t>YABAN MERSİNLİ</t>
        </is>
      </c>
      <c r="B45" s="255" t="n"/>
      <c r="C45" s="564" t="n"/>
      <c r="D45" s="565" t="n"/>
      <c r="E45" s="109" t="n"/>
      <c r="F45" s="255" t="n"/>
      <c r="G45" s="564" t="n"/>
      <c r="H45" s="565" t="n"/>
      <c r="I45" s="109" t="n"/>
      <c r="J45" s="255" t="n"/>
      <c r="K45" s="564" t="n"/>
      <c r="L45" s="565" t="n"/>
      <c r="M45" s="109" t="n"/>
      <c r="N45" s="255" t="n"/>
      <c r="O45" s="564" t="n"/>
      <c r="P45" s="565" t="n"/>
      <c r="Q45" s="320" t="inlineStr">
        <is>
          <t>YABAN MERSİNLİ</t>
        </is>
      </c>
      <c r="R45" s="320">
        <f>B45+F45+J45+N45</f>
        <v/>
      </c>
      <c r="S45" s="564" t="n"/>
      <c r="T45" s="565" t="n"/>
    </row>
    <row r="46" ht="62" customHeight="1" thickBot="1">
      <c r="A46" s="152" t="inlineStr">
        <is>
          <t>MANGOLU DİLİM</t>
        </is>
      </c>
      <c r="B46" s="263" t="n"/>
      <c r="C46" s="567" t="n"/>
      <c r="D46" s="568" t="n"/>
      <c r="E46" s="153" t="n"/>
      <c r="F46" s="263" t="n"/>
      <c r="G46" s="567" t="n"/>
      <c r="H46" s="568" t="n"/>
      <c r="I46" s="153" t="n"/>
      <c r="J46" s="263" t="n"/>
      <c r="K46" s="567" t="n"/>
      <c r="L46" s="568" t="n"/>
      <c r="M46" s="153" t="n"/>
      <c r="N46" s="263" t="n"/>
      <c r="O46" s="567" t="n"/>
      <c r="P46" s="568" t="n"/>
      <c r="Q46" s="321" t="inlineStr">
        <is>
          <t>MANGOLU DİLİM</t>
        </is>
      </c>
      <c r="R46" s="321">
        <f>B46+F46+J46+N46</f>
        <v/>
      </c>
      <c r="S46" s="567" t="n"/>
      <c r="T46" s="568" t="n"/>
    </row>
    <row r="47" ht="50" customHeight="1">
      <c r="A47" s="216" t="inlineStr">
        <is>
          <t>BÜTÜN CHEESCAKE</t>
        </is>
      </c>
      <c r="B47" s="569" t="inlineStr">
        <is>
          <t>NİŞANTAŞI</t>
        </is>
      </c>
      <c r="C47" s="570" t="n"/>
      <c r="D47" s="571" t="n"/>
      <c r="E47" s="83" t="n"/>
      <c r="F47" s="569" t="inlineStr">
        <is>
          <t>FULYA</t>
        </is>
      </c>
      <c r="G47" s="570" t="n"/>
      <c r="H47" s="571" t="n"/>
      <c r="I47" s="83" t="n"/>
      <c r="J47" s="569" t="inlineStr">
        <is>
          <t>MASLAK</t>
        </is>
      </c>
      <c r="K47" s="570" t="n"/>
      <c r="L47" s="571" t="n"/>
      <c r="M47" s="83" t="n"/>
      <c r="N47" s="569" t="n"/>
      <c r="O47" s="570" t="n"/>
      <c r="P47" s="571" t="n"/>
    </row>
    <row r="48" ht="64" customHeight="1">
      <c r="A48" s="154" t="inlineStr">
        <is>
          <t>FRAMBUAZLI</t>
        </is>
      </c>
      <c r="B48" s="550" t="n"/>
      <c r="C48" s="110" t="n">
        <v>1</v>
      </c>
      <c r="D48" s="551" t="n"/>
      <c r="E48" s="554" t="n"/>
      <c r="F48" s="550" t="n"/>
      <c r="G48" s="110" t="n">
        <v>1</v>
      </c>
      <c r="H48" s="551" t="n"/>
      <c r="I48" s="554" t="n"/>
      <c r="J48" s="550" t="n"/>
      <c r="K48" s="110" t="n">
        <v>1</v>
      </c>
      <c r="L48" s="551" t="n"/>
      <c r="M48" s="548" t="n"/>
      <c r="N48" s="110" t="n"/>
      <c r="O48" s="110" t="n"/>
      <c r="P48" s="110" t="n"/>
    </row>
    <row r="49" ht="64" customHeight="1">
      <c r="A49" s="156" t="inlineStr">
        <is>
          <t>LİMONLU</t>
        </is>
      </c>
      <c r="B49" s="550" t="n"/>
      <c r="C49" s="110" t="n"/>
      <c r="D49" s="551" t="n"/>
      <c r="E49" s="554" t="n"/>
      <c r="F49" s="550" t="n"/>
      <c r="G49" s="110" t="n"/>
      <c r="H49" s="551" t="n"/>
      <c r="I49" s="554" t="n"/>
      <c r="J49" s="550" t="n"/>
      <c r="K49" s="110" t="n">
        <v>1</v>
      </c>
      <c r="L49" s="551" t="n"/>
      <c r="M49" s="548" t="n"/>
      <c r="N49" s="110" t="n"/>
      <c r="O49" s="110" t="n"/>
      <c r="P49" s="110" t="n"/>
    </row>
    <row r="50" ht="64" customHeight="1">
      <c r="A50" s="156" t="inlineStr">
        <is>
          <t>YABAN MERSİNLİ</t>
        </is>
      </c>
      <c r="B50" s="550" t="n"/>
      <c r="C50" s="110" t="n">
        <v>1</v>
      </c>
      <c r="D50" s="551" t="n"/>
      <c r="E50" s="554" t="n"/>
      <c r="F50" s="550" t="n"/>
      <c r="G50" s="110" t="n"/>
      <c r="H50" s="551" t="n"/>
      <c r="I50" s="554" t="n"/>
      <c r="J50" s="550" t="n"/>
      <c r="K50" s="110" t="n"/>
      <c r="L50" s="551" t="n"/>
      <c r="M50" s="548" t="n"/>
      <c r="N50" s="110" t="n"/>
      <c r="O50" s="110" t="n"/>
      <c r="P50" s="110" t="n"/>
    </row>
    <row r="51" ht="64" customHeight="1">
      <c r="A51" s="156" t="inlineStr">
        <is>
          <t>ÇİKOLATALI</t>
        </is>
      </c>
      <c r="B51" s="550" t="n"/>
      <c r="C51" s="110" t="n">
        <v>1</v>
      </c>
      <c r="D51" s="551" t="n"/>
      <c r="E51" s="554" t="n"/>
      <c r="F51" s="550" t="n"/>
      <c r="G51" s="110" t="n"/>
      <c r="H51" s="551" t="n"/>
      <c r="I51" s="554" t="n"/>
      <c r="J51" s="550" t="n"/>
      <c r="K51" s="110" t="n"/>
      <c r="L51" s="551" t="n"/>
      <c r="M51" s="548" t="n"/>
      <c r="N51" s="110" t="n"/>
      <c r="O51" s="110" t="n"/>
      <c r="P51" s="110" t="n"/>
    </row>
    <row r="52" ht="64" customHeight="1">
      <c r="A52" s="156" t="inlineStr">
        <is>
          <t>ÇİLEKLİ</t>
        </is>
      </c>
      <c r="B52" s="550" t="n"/>
      <c r="C52" s="110" t="n">
        <v>1</v>
      </c>
      <c r="D52" s="551" t="n"/>
      <c r="E52" s="554" t="n"/>
      <c r="F52" s="550" t="n"/>
      <c r="G52" s="110" t="n"/>
      <c r="H52" s="551" t="n"/>
      <c r="I52" s="554" t="n"/>
      <c r="J52" s="550" t="n"/>
      <c r="K52" s="110" t="n"/>
      <c r="L52" s="551" t="n"/>
      <c r="M52" s="548" t="n"/>
      <c r="N52" s="110" t="n"/>
      <c r="O52" s="110" t="n"/>
      <c r="P52" s="110" t="n"/>
    </row>
    <row r="53" ht="64" customHeight="1">
      <c r="A53" s="156" t="inlineStr">
        <is>
          <t>LOTUSLU</t>
        </is>
      </c>
      <c r="B53" s="550" t="n"/>
      <c r="C53" s="110" t="n"/>
      <c r="D53" s="551" t="n"/>
      <c r="E53" s="554" t="n"/>
      <c r="F53" s="550" t="n"/>
      <c r="G53" s="110" t="n"/>
      <c r="H53" s="551" t="n"/>
      <c r="I53" s="554" t="n"/>
      <c r="J53" s="550" t="n"/>
      <c r="K53" s="110" t="n"/>
      <c r="L53" s="551" t="n"/>
      <c r="M53" s="548" t="n"/>
      <c r="N53" s="110" t="n"/>
      <c r="O53" s="110" t="n"/>
      <c r="P53" s="110" t="n"/>
    </row>
    <row r="54" ht="64" customHeight="1" thickBot="1">
      <c r="A54" s="157" t="inlineStr">
        <is>
          <t>MANGOLU</t>
        </is>
      </c>
      <c r="B54" s="552" t="n"/>
      <c r="C54" s="217" t="n"/>
      <c r="D54" s="553" t="n"/>
      <c r="E54" s="555" t="n"/>
      <c r="F54" s="552" t="n"/>
      <c r="G54" s="217" t="n"/>
      <c r="H54" s="553" t="n"/>
      <c r="I54" s="555" t="n"/>
      <c r="J54" s="552" t="n"/>
      <c r="K54" s="217" t="n"/>
      <c r="L54" s="553" t="n"/>
      <c r="M54" s="549" t="n"/>
      <c r="N54" s="217" t="n"/>
      <c r="O54" s="217" t="n"/>
      <c r="P54" s="217" t="n"/>
    </row>
    <row r="55" ht="33.75" customHeight="1" thickBot="1">
      <c r="A55" s="81" t="n"/>
      <c r="B55" s="79" t="n"/>
      <c r="C55" s="79" t="n"/>
      <c r="D55" s="79" t="n"/>
      <c r="E55" s="80" t="n"/>
      <c r="F55" s="79" t="n"/>
      <c r="G55" s="79" t="n"/>
      <c r="H55" s="79" t="n"/>
      <c r="I55" s="80" t="n"/>
      <c r="J55" s="79" t="n"/>
      <c r="K55" s="79" t="n"/>
      <c r="L55" s="79" t="n"/>
      <c r="M55" s="80" t="n"/>
      <c r="N55" s="79" t="n"/>
      <c r="O55" s="79" t="n"/>
      <c r="P55" s="79" t="n"/>
    </row>
    <row r="56" ht="21" customHeight="1">
      <c r="Q56" s="13" t="n"/>
    </row>
  </sheetData>
  <mergeCells count="216">
    <mergeCell ref="B42:D42"/>
    <mergeCell ref="B11:D11"/>
    <mergeCell ref="N3:P5"/>
    <mergeCell ref="F36:H36"/>
    <mergeCell ref="N33:P33"/>
    <mergeCell ref="F18:H18"/>
    <mergeCell ref="F33:H33"/>
    <mergeCell ref="N42:P42"/>
    <mergeCell ref="R27:T27"/>
    <mergeCell ref="F45:H45"/>
    <mergeCell ref="J27:L27"/>
    <mergeCell ref="R36:T36"/>
    <mergeCell ref="F8:H8"/>
    <mergeCell ref="N17:P17"/>
    <mergeCell ref="R45:T45"/>
    <mergeCell ref="J35:L35"/>
    <mergeCell ref="B44:D44"/>
    <mergeCell ref="F17:H17"/>
    <mergeCell ref="R20:T20"/>
    <mergeCell ref="N44:P44"/>
    <mergeCell ref="J11:L11"/>
    <mergeCell ref="F47:H47"/>
    <mergeCell ref="R42:T42"/>
    <mergeCell ref="J25:L25"/>
    <mergeCell ref="B28:D28"/>
    <mergeCell ref="B34:D34"/>
    <mergeCell ref="B37:D37"/>
    <mergeCell ref="N19:P19"/>
    <mergeCell ref="F22:H22"/>
    <mergeCell ref="F31:H31"/>
    <mergeCell ref="N28:P28"/>
    <mergeCell ref="R22:T22"/>
    <mergeCell ref="N9:P9"/>
    <mergeCell ref="B30:D30"/>
    <mergeCell ref="F9:H9"/>
    <mergeCell ref="F39:H39"/>
    <mergeCell ref="B6:D6"/>
    <mergeCell ref="B20:D20"/>
    <mergeCell ref="R46:T46"/>
    <mergeCell ref="N30:P30"/>
    <mergeCell ref="J46:L46"/>
    <mergeCell ref="F14:H14"/>
    <mergeCell ref="R14:T14"/>
    <mergeCell ref="J39:L39"/>
    <mergeCell ref="R23:T23"/>
    <mergeCell ref="J29:L29"/>
    <mergeCell ref="R38:T38"/>
    <mergeCell ref="J38:L38"/>
    <mergeCell ref="N32:P32"/>
    <mergeCell ref="J13:L13"/>
    <mergeCell ref="Q3:Q4"/>
    <mergeCell ref="R40:T40"/>
    <mergeCell ref="F12:H12"/>
    <mergeCell ref="B43:D43"/>
    <mergeCell ref="F7:H7"/>
    <mergeCell ref="J40:L40"/>
    <mergeCell ref="F21:H21"/>
    <mergeCell ref="J15:L15"/>
    <mergeCell ref="R24:T24"/>
    <mergeCell ref="J24:L24"/>
    <mergeCell ref="N18:P18"/>
    <mergeCell ref="F41:H41"/>
    <mergeCell ref="B8:D8"/>
    <mergeCell ref="F35:H35"/>
    <mergeCell ref="B17:D17"/>
    <mergeCell ref="R26:T26"/>
    <mergeCell ref="N8:P8"/>
    <mergeCell ref="J26:L26"/>
    <mergeCell ref="R35:T35"/>
    <mergeCell ref="J7:L7"/>
    <mergeCell ref="B10:D10"/>
    <mergeCell ref="J41:L41"/>
    <mergeCell ref="J16:L16"/>
    <mergeCell ref="B19:D19"/>
    <mergeCell ref="N10:P10"/>
    <mergeCell ref="F27:H27"/>
    <mergeCell ref="R17:T17"/>
    <mergeCell ref="B9:D9"/>
    <mergeCell ref="J43:L43"/>
    <mergeCell ref="N34:P34"/>
    <mergeCell ref="R3:T5"/>
    <mergeCell ref="J3:L5"/>
    <mergeCell ref="J33:L33"/>
    <mergeCell ref="B36:D36"/>
    <mergeCell ref="J42:L42"/>
    <mergeCell ref="B45:D45"/>
    <mergeCell ref="N36:P36"/>
    <mergeCell ref="R9:T9"/>
    <mergeCell ref="N45:P45"/>
    <mergeCell ref="R39:T39"/>
    <mergeCell ref="N20:P20"/>
    <mergeCell ref="F29:H29"/>
    <mergeCell ref="J44:L44"/>
    <mergeCell ref="F11:H11"/>
    <mergeCell ref="B47:D47"/>
    <mergeCell ref="F25:H25"/>
    <mergeCell ref="R29:T29"/>
    <mergeCell ref="R11:T11"/>
    <mergeCell ref="J14:L14"/>
    <mergeCell ref="N47:P47"/>
    <mergeCell ref="B31:D31"/>
    <mergeCell ref="B46:D46"/>
    <mergeCell ref="J28:L28"/>
    <mergeCell ref="J37:L37"/>
    <mergeCell ref="N22:P22"/>
    <mergeCell ref="R13:T13"/>
    <mergeCell ref="N37:P37"/>
    <mergeCell ref="F40:H40"/>
    <mergeCell ref="B21:D21"/>
    <mergeCell ref="R31:T31"/>
    <mergeCell ref="B39:D39"/>
    <mergeCell ref="F15:H15"/>
    <mergeCell ref="N12:P12"/>
    <mergeCell ref="J30:L30"/>
    <mergeCell ref="N21:P21"/>
    <mergeCell ref="R6:T6"/>
    <mergeCell ref="F24:H24"/>
    <mergeCell ref="J6:L6"/>
    <mergeCell ref="R15:T15"/>
    <mergeCell ref="B14:D14"/>
    <mergeCell ref="R37:T37"/>
    <mergeCell ref="B23:D23"/>
    <mergeCell ref="N14:P14"/>
    <mergeCell ref="F32:H32"/>
    <mergeCell ref="R12:T12"/>
    <mergeCell ref="N23:P23"/>
    <mergeCell ref="F26:H26"/>
    <mergeCell ref="B13:D13"/>
    <mergeCell ref="R21:T21"/>
    <mergeCell ref="F23:H23"/>
    <mergeCell ref="F38:H38"/>
    <mergeCell ref="J32:L32"/>
    <mergeCell ref="R41:T41"/>
    <mergeCell ref="F13:H13"/>
    <mergeCell ref="N40:P40"/>
    <mergeCell ref="F43:H43"/>
    <mergeCell ref="J47:L47"/>
    <mergeCell ref="R43:T43"/>
    <mergeCell ref="F37:H37"/>
    <mergeCell ref="R33:T33"/>
    <mergeCell ref="J18:L18"/>
    <mergeCell ref="B41:D41"/>
    <mergeCell ref="B35:D35"/>
    <mergeCell ref="N27:P27"/>
    <mergeCell ref="J8:L8"/>
    <mergeCell ref="N35:P35"/>
    <mergeCell ref="J17:L17"/>
    <mergeCell ref="F44:H44"/>
    <mergeCell ref="B25:D25"/>
    <mergeCell ref="R44:T44"/>
    <mergeCell ref="F34:H34"/>
    <mergeCell ref="F16:H16"/>
    <mergeCell ref="N25:P25"/>
    <mergeCell ref="N11:P11"/>
    <mergeCell ref="F6:H6"/>
    <mergeCell ref="J10:L10"/>
    <mergeCell ref="R19:T19"/>
    <mergeCell ref="B3:D5"/>
    <mergeCell ref="J19:L19"/>
    <mergeCell ref="R28:T28"/>
    <mergeCell ref="B22:D22"/>
    <mergeCell ref="J34:L34"/>
    <mergeCell ref="J9:L9"/>
    <mergeCell ref="F30:H30"/>
    <mergeCell ref="R25:T25"/>
    <mergeCell ref="B12:D12"/>
    <mergeCell ref="F3:H5"/>
    <mergeCell ref="R30:T30"/>
    <mergeCell ref="F20:H20"/>
    <mergeCell ref="N46:P46"/>
    <mergeCell ref="F42:H42"/>
    <mergeCell ref="J36:L36"/>
    <mergeCell ref="J45:L45"/>
    <mergeCell ref="N39:P39"/>
    <mergeCell ref="J20:L20"/>
    <mergeCell ref="B29:D29"/>
    <mergeCell ref="B38:D38"/>
    <mergeCell ref="N29:P29"/>
    <mergeCell ref="F46:H46"/>
    <mergeCell ref="N38:P38"/>
    <mergeCell ref="F28:H28"/>
    <mergeCell ref="R32:T32"/>
    <mergeCell ref="J22:L22"/>
    <mergeCell ref="A3:A4"/>
    <mergeCell ref="N13:P13"/>
    <mergeCell ref="J31:L31"/>
    <mergeCell ref="B40:D40"/>
    <mergeCell ref="N31:P31"/>
    <mergeCell ref="J12:L12"/>
    <mergeCell ref="B15:D15"/>
    <mergeCell ref="J21:L21"/>
    <mergeCell ref="N6:P6"/>
    <mergeCell ref="B24:D24"/>
    <mergeCell ref="B33:D33"/>
    <mergeCell ref="N15:P15"/>
    <mergeCell ref="N24:P24"/>
    <mergeCell ref="B32:D32"/>
    <mergeCell ref="R18:T18"/>
    <mergeCell ref="J23:L23"/>
    <mergeCell ref="B26:D26"/>
    <mergeCell ref="R8:T8"/>
    <mergeCell ref="N26:P26"/>
    <mergeCell ref="B7:D7"/>
    <mergeCell ref="B16:D16"/>
    <mergeCell ref="F10:H10"/>
    <mergeCell ref="N7:P7"/>
    <mergeCell ref="N41:P41"/>
    <mergeCell ref="N16:P16"/>
    <mergeCell ref="F19:H19"/>
    <mergeCell ref="R10:T10"/>
    <mergeCell ref="N43:P43"/>
    <mergeCell ref="B27:D27"/>
    <mergeCell ref="B18:D18"/>
    <mergeCell ref="R7:T7"/>
    <mergeCell ref="R34:T34"/>
    <mergeCell ref="R16:T16"/>
  </mergeCells>
  <pageMargins left="0.7" right="0.7" top="0.75" bottom="0.75" header="0.3" footer="0.3"/>
  <pageSetup orientation="portrait" paperSize="9" scale="27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topLeftCell="D1" zoomScale="27" zoomScaleNormal="27" workbookViewId="0">
      <selection activeCell="V13" sqref="V13"/>
    </sheetView>
  </sheetViews>
  <sheetFormatPr baseColWidth="10" defaultColWidth="8.83203125" defaultRowHeight="15"/>
  <cols>
    <col width="32.6640625" customWidth="1" min="1" max="1"/>
    <col width="49.1640625" customWidth="1" min="2" max="2"/>
    <col width="30.83203125" customWidth="1" min="3" max="5"/>
    <col width="0.6640625" customWidth="1" min="6" max="6"/>
    <col width="30.83203125" customWidth="1" min="7" max="9"/>
    <col width="0.6640625" customWidth="1" min="10" max="10"/>
    <col width="30.83203125" customWidth="1" min="11" max="14"/>
    <col width="0.6640625" customWidth="1" min="15" max="15"/>
    <col width="30.83203125" customWidth="1" min="16" max="17"/>
    <col width="1" customWidth="1" min="18" max="18"/>
    <col width="30.83203125" customWidth="1" min="19" max="20"/>
    <col width="0.6640625" customWidth="1" min="21" max="21"/>
    <col width="30.83203125" customWidth="1" min="22" max="23"/>
    <col width="0.6640625" customWidth="1" min="24" max="24"/>
    <col width="30.83203125" customWidth="1" min="25" max="26"/>
    <col width="81.83203125" customWidth="1" min="27" max="27"/>
    <col width="32.83203125" customWidth="1" min="28" max="31"/>
  </cols>
  <sheetData>
    <row r="1" ht="63" customFormat="1" customHeight="1" s="243" thickBot="1">
      <c r="A1" s="239" t="inlineStr">
        <is>
          <t>LA VİTA</t>
        </is>
      </c>
      <c r="B1" s="240" t="n">
        <v>46220</v>
      </c>
      <c r="C1" s="572" t="inlineStr">
        <is>
          <t>NİŞANTAŞI</t>
        </is>
      </c>
      <c r="D1" s="573" t="n"/>
      <c r="E1" s="574" t="n"/>
      <c r="F1" s="222" t="n"/>
      <c r="G1" s="575" t="inlineStr">
        <is>
          <t>FULYA</t>
        </is>
      </c>
      <c r="H1" s="576" t="n"/>
      <c r="I1" s="577" t="n"/>
      <c r="J1" s="222" t="n"/>
      <c r="K1" s="578" t="inlineStr">
        <is>
          <t>MASLAK</t>
        </is>
      </c>
      <c r="L1" s="576" t="n"/>
      <c r="M1" s="576" t="n"/>
      <c r="N1" s="577" t="n"/>
      <c r="O1" s="222" t="n"/>
      <c r="P1" s="579" t="inlineStr">
        <is>
          <t>SUTİŞ</t>
        </is>
      </c>
      <c r="Q1" s="574" t="n"/>
      <c r="R1" s="241" t="n"/>
      <c r="S1" s="580" t="inlineStr">
        <is>
          <t>SULTANBEYLİ</t>
        </is>
      </c>
      <c r="T1" s="574" t="n"/>
      <c r="U1" s="222" t="n"/>
      <c r="V1" s="581" t="inlineStr">
        <is>
          <t>ZEYTİN</t>
        </is>
      </c>
      <c r="W1" s="574" t="n"/>
      <c r="X1" s="222" t="n"/>
      <c r="Y1" s="582" t="inlineStr">
        <is>
          <t>BEYKENT</t>
        </is>
      </c>
      <c r="Z1" s="583" t="n"/>
      <c r="AA1" s="242">
        <f>B2</f>
        <v/>
      </c>
      <c r="AB1" s="341" t="inlineStr">
        <is>
          <t>TOPLAM ADET</t>
        </is>
      </c>
      <c r="AC1" s="584" t="n"/>
      <c r="AD1" s="584" t="n"/>
      <c r="AE1" s="584" t="n"/>
    </row>
    <row r="2" ht="45" customFormat="1" customHeight="1" s="202" thickBot="1">
      <c r="A2" s="182" t="inlineStr">
        <is>
          <t>GÜN:</t>
        </is>
      </c>
      <c r="B2" s="183" t="inlineStr">
        <is>
          <t>Cuma</t>
        </is>
      </c>
      <c r="C2" s="184" t="n">
        <v>0</v>
      </c>
      <c r="D2" s="185" t="n">
        <v>1</v>
      </c>
      <c r="E2" s="186" t="n">
        <v>2</v>
      </c>
      <c r="F2" s="187" t="n"/>
      <c r="G2" s="188" t="n">
        <v>0</v>
      </c>
      <c r="H2" s="189" t="n">
        <v>1</v>
      </c>
      <c r="I2" s="190" t="n">
        <v>2</v>
      </c>
      <c r="J2" s="187" t="n"/>
      <c r="K2" s="191" t="n">
        <v>0</v>
      </c>
      <c r="L2" s="191" t="n">
        <v>1</v>
      </c>
      <c r="M2" s="192" t="n">
        <v>2</v>
      </c>
      <c r="N2" s="192" t="n">
        <v>3</v>
      </c>
      <c r="O2" s="187" t="n"/>
      <c r="P2" s="233" t="n">
        <v>0</v>
      </c>
      <c r="Q2" s="234" t="n">
        <v>1</v>
      </c>
      <c r="R2" s="235" t="n"/>
      <c r="S2" s="193" t="n">
        <v>0</v>
      </c>
      <c r="T2" s="194" t="n">
        <v>1</v>
      </c>
      <c r="U2" s="195" t="n"/>
      <c r="V2" s="196" t="n">
        <v>0</v>
      </c>
      <c r="W2" s="197" t="n">
        <v>1</v>
      </c>
      <c r="X2" s="198" t="n"/>
      <c r="Y2" s="199" t="n">
        <v>0</v>
      </c>
      <c r="Z2" s="199" t="n">
        <v>1</v>
      </c>
      <c r="AA2" s="200" t="n"/>
      <c r="AB2" s="201" t="inlineStr">
        <is>
          <t>NO:0</t>
        </is>
      </c>
      <c r="AC2" s="201" t="inlineStr">
        <is>
          <t>NO:1</t>
        </is>
      </c>
      <c r="AD2" s="201" t="inlineStr">
        <is>
          <t>NO:2</t>
        </is>
      </c>
      <c r="AE2" s="201" t="inlineStr">
        <is>
          <t>NO:3</t>
        </is>
      </c>
    </row>
    <row r="3" ht="78" customHeight="1" thickBot="1">
      <c r="A3" s="135" t="inlineStr">
        <is>
          <t>*FISTIK ÇİKOLATA DEKORA</t>
        </is>
      </c>
      <c r="B3" s="136" t="n"/>
      <c r="C3" s="219" t="n"/>
      <c r="D3" s="220" t="n"/>
      <c r="E3" s="221" t="n"/>
      <c r="F3" s="222" t="n"/>
      <c r="G3" s="219" t="n"/>
      <c r="H3" s="220" t="n"/>
      <c r="I3" s="223" t="n"/>
      <c r="J3" s="222" t="n"/>
      <c r="K3" s="220" t="n"/>
      <c r="L3" s="220" t="n"/>
      <c r="M3" s="223" t="n"/>
      <c r="N3" s="223" t="n"/>
      <c r="O3" s="222" t="n"/>
      <c r="P3" s="224" t="n"/>
      <c r="Q3" s="225" t="n"/>
      <c r="R3" s="236" t="n"/>
      <c r="S3" s="224" t="n"/>
      <c r="T3" s="225" t="n"/>
      <c r="U3" s="222" t="n"/>
      <c r="V3" s="219" t="n"/>
      <c r="W3" s="226" t="n"/>
      <c r="X3" s="222" t="n"/>
      <c r="Y3" s="227" t="n"/>
      <c r="Z3" s="228" t="n"/>
      <c r="AA3" s="172" t="inlineStr">
        <is>
          <t>*FISTIK ÇİKOLATA DEKORA</t>
        </is>
      </c>
      <c r="AB3" s="173">
        <f>C3+G3+K3+S3+V3+Y3+P3</f>
        <v/>
      </c>
      <c r="AC3" s="173">
        <f>D3+H3+L3+T3+W3+Z3+Q3</f>
        <v/>
      </c>
      <c r="AD3" s="173">
        <f>E3+I3+M3</f>
        <v/>
      </c>
      <c r="AE3" s="173">
        <f>N3</f>
        <v/>
      </c>
    </row>
    <row r="4" ht="78" customHeight="1" thickBot="1">
      <c r="A4" s="137" t="inlineStr">
        <is>
          <t>*KROKANLI ÇİKOLATA</t>
        </is>
      </c>
      <c r="B4" s="138" t="n"/>
      <c r="C4" s="219" t="n"/>
      <c r="D4" s="220" t="n"/>
      <c r="E4" s="221" t="n"/>
      <c r="F4" s="222" t="n"/>
      <c r="G4" s="219" t="n"/>
      <c r="H4" s="220" t="n"/>
      <c r="I4" s="223" t="n"/>
      <c r="J4" s="222" t="n"/>
      <c r="K4" s="220" t="n"/>
      <c r="L4" s="220" t="n"/>
      <c r="M4" s="223" t="n"/>
      <c r="N4" s="223" t="n"/>
      <c r="O4" s="222" t="n"/>
      <c r="P4" s="224" t="n"/>
      <c r="Q4" s="225" t="n"/>
      <c r="R4" s="236" t="n"/>
      <c r="S4" s="224" t="n"/>
      <c r="T4" s="225" t="n"/>
      <c r="U4" s="222" t="n"/>
      <c r="V4" s="219" t="n"/>
      <c r="W4" s="226" t="n"/>
      <c r="X4" s="222" t="n"/>
      <c r="Y4" s="229" t="n"/>
      <c r="Z4" s="225" t="n"/>
      <c r="AA4" s="174" t="inlineStr">
        <is>
          <t>*KROKANLI ÇİKOLATA</t>
        </is>
      </c>
      <c r="AB4" s="173">
        <f>C4+G4+K4+S4+V4+Y4+P4</f>
        <v/>
      </c>
      <c r="AC4" s="173">
        <f>D4+H4+L4+T4+W4+Z4+Q4</f>
        <v/>
      </c>
      <c r="AD4" s="173">
        <f>E4+I4+M4</f>
        <v/>
      </c>
      <c r="AE4" s="173">
        <f>N4</f>
        <v/>
      </c>
    </row>
    <row r="5" ht="78" customHeight="1" thickBot="1">
      <c r="A5" s="139" t="inlineStr">
        <is>
          <t>GANAJ</t>
        </is>
      </c>
      <c r="B5" s="140" t="n"/>
      <c r="C5" s="219" t="n"/>
      <c r="D5" s="220" t="n"/>
      <c r="E5" s="221" t="n"/>
      <c r="F5" s="222" t="n"/>
      <c r="G5" s="219" t="n"/>
      <c r="H5" s="220" t="n"/>
      <c r="I5" s="223" t="n"/>
      <c r="J5" s="222" t="n"/>
      <c r="K5" s="220" t="n"/>
      <c r="L5" s="220" t="n"/>
      <c r="M5" s="223" t="n"/>
      <c r="N5" s="223" t="n"/>
      <c r="O5" s="222" t="n"/>
      <c r="P5" s="229" t="n"/>
      <c r="Q5" s="225" t="n"/>
      <c r="R5" s="236" t="n"/>
      <c r="S5" s="229" t="n"/>
      <c r="T5" s="225" t="n"/>
      <c r="U5" s="222" t="n"/>
      <c r="V5" s="219" t="n"/>
      <c r="W5" s="226" t="n"/>
      <c r="X5" s="222" t="n"/>
      <c r="Y5" s="229" t="n"/>
      <c r="Z5" s="225" t="n"/>
      <c r="AA5" s="175" t="inlineStr">
        <is>
          <t>GANAJ</t>
        </is>
      </c>
      <c r="AB5" s="173">
        <f>C5+G5+K5+S5+V5+Y5+P5</f>
        <v/>
      </c>
      <c r="AC5" s="173">
        <f>D5+H5+L5+T5+W5+Z5+Q5</f>
        <v/>
      </c>
      <c r="AD5" s="173">
        <f>E5+I5+M5</f>
        <v/>
      </c>
      <c r="AE5" s="173">
        <f>N5</f>
        <v/>
      </c>
    </row>
    <row r="6" ht="78" customHeight="1" thickBot="1">
      <c r="A6" s="135" t="inlineStr">
        <is>
          <t>*FRAMBUAZ SİYAH ÇİKOLATA</t>
        </is>
      </c>
      <c r="B6" s="136" t="n"/>
      <c r="C6" s="219" t="n"/>
      <c r="D6" s="220" t="n"/>
      <c r="E6" s="221" t="n"/>
      <c r="F6" s="222" t="n"/>
      <c r="G6" s="219" t="n"/>
      <c r="H6" s="220" t="n"/>
      <c r="I6" s="223" t="n"/>
      <c r="J6" s="222" t="n"/>
      <c r="K6" s="220" t="n"/>
      <c r="L6" s="220" t="n"/>
      <c r="M6" s="223" t="n"/>
      <c r="N6" s="223" t="n"/>
      <c r="O6" s="222" t="n"/>
      <c r="P6" s="229" t="n"/>
      <c r="Q6" s="225" t="n"/>
      <c r="R6" s="236" t="n"/>
      <c r="S6" s="229" t="n"/>
      <c r="T6" s="225" t="n"/>
      <c r="U6" s="222" t="n"/>
      <c r="V6" s="219" t="n"/>
      <c r="W6" s="226" t="n"/>
      <c r="X6" s="222" t="n"/>
      <c r="Y6" s="229" t="n"/>
      <c r="Z6" s="225" t="n"/>
      <c r="AA6" s="172" t="inlineStr">
        <is>
          <t>*FRAMBUAZ SİYAH ÇİKOLATA</t>
        </is>
      </c>
      <c r="AB6" s="173">
        <f>C6+G6+K6+S6+V6+Y6+P6</f>
        <v/>
      </c>
      <c r="AC6" s="173">
        <f>D6+H6+L6+T6+W6+Z6+Q6</f>
        <v/>
      </c>
      <c r="AD6" s="173">
        <f>E6+I6+M6</f>
        <v/>
      </c>
      <c r="AE6" s="173">
        <f>N6</f>
        <v/>
      </c>
    </row>
    <row r="7" ht="78" customHeight="1" thickBot="1">
      <c r="A7" s="141" t="inlineStr">
        <is>
          <t>*FRAMBUAZ BEYAZ ÇİKOLATA</t>
        </is>
      </c>
      <c r="B7" s="142" t="n"/>
      <c r="C7" s="219" t="n"/>
      <c r="D7" s="220" t="n"/>
      <c r="E7" s="221" t="n"/>
      <c r="F7" s="222" t="n"/>
      <c r="G7" s="219" t="n"/>
      <c r="H7" s="220" t="n"/>
      <c r="I7" s="223" t="n"/>
      <c r="J7" s="222" t="n"/>
      <c r="K7" s="220" t="n"/>
      <c r="L7" s="220" t="n"/>
      <c r="M7" s="223" t="n"/>
      <c r="N7" s="223" t="n"/>
      <c r="O7" s="222" t="n"/>
      <c r="P7" s="229" t="n"/>
      <c r="Q7" s="225" t="n"/>
      <c r="R7" s="236" t="n"/>
      <c r="S7" s="229" t="n"/>
      <c r="T7" s="225" t="n"/>
      <c r="U7" s="222" t="n"/>
      <c r="V7" s="219" t="n"/>
      <c r="W7" s="226" t="n"/>
      <c r="X7" s="222" t="n"/>
      <c r="Y7" s="229" t="n"/>
      <c r="Z7" s="225" t="n"/>
      <c r="AA7" s="176" t="inlineStr">
        <is>
          <t>*FRAMBUAZ BEYAZ ÇİKOLATA</t>
        </is>
      </c>
      <c r="AB7" s="173">
        <f>C7+G7+K7+S7+V7+Y7+P7</f>
        <v/>
      </c>
      <c r="AC7" s="173">
        <f>D7+H7+L7+T7+W7+Z7+Q7</f>
        <v/>
      </c>
      <c r="AD7" s="173">
        <f>E7+I7+M7</f>
        <v/>
      </c>
      <c r="AE7" s="173">
        <f>N7</f>
        <v/>
      </c>
    </row>
    <row r="8" ht="78" customHeight="1" thickBot="1">
      <c r="A8" s="143" t="inlineStr">
        <is>
          <t>PASTA LATTE</t>
        </is>
      </c>
      <c r="B8" s="144" t="n"/>
      <c r="C8" s="219" t="n"/>
      <c r="D8" s="220" t="n"/>
      <c r="E8" s="221" t="n"/>
      <c r="F8" s="222" t="n"/>
      <c r="G8" s="219" t="n"/>
      <c r="H8" s="220" t="n"/>
      <c r="I8" s="223" t="n"/>
      <c r="J8" s="222" t="n"/>
      <c r="K8" s="220" t="n"/>
      <c r="L8" s="220" t="n"/>
      <c r="M8" s="223" t="n"/>
      <c r="N8" s="223" t="n"/>
      <c r="O8" s="222" t="n"/>
      <c r="P8" s="229" t="n"/>
      <c r="Q8" s="225" t="n"/>
      <c r="R8" s="236" t="n"/>
      <c r="S8" s="229" t="n"/>
      <c r="T8" s="225" t="n"/>
      <c r="U8" s="222" t="n"/>
      <c r="V8" s="219" t="n"/>
      <c r="W8" s="226" t="n"/>
      <c r="X8" s="222" t="n"/>
      <c r="Y8" s="229" t="n"/>
      <c r="Z8" s="225" t="n"/>
      <c r="AA8" s="177" t="inlineStr">
        <is>
          <t>PASTA LATTE</t>
        </is>
      </c>
      <c r="AB8" s="173">
        <f>C8+G8+K8+S8+V8+Y8+P8</f>
        <v/>
      </c>
      <c r="AC8" s="173">
        <f>D8+H8+L8+T8+W8+Z8+Q8</f>
        <v/>
      </c>
      <c r="AD8" s="173">
        <f>E8+I8+M8</f>
        <v/>
      </c>
      <c r="AE8" s="173">
        <f>N8</f>
        <v/>
      </c>
    </row>
    <row r="9" ht="78" customHeight="1" thickBot="1">
      <c r="A9" s="141" t="inlineStr">
        <is>
          <t>*KIRMIZI MEYVALI NAKED</t>
        </is>
      </c>
      <c r="B9" s="142" t="n"/>
      <c r="C9" s="219" t="n"/>
      <c r="D9" s="220" t="n"/>
      <c r="E9" s="221" t="n"/>
      <c r="F9" s="222" t="n"/>
      <c r="G9" s="219" t="n"/>
      <c r="H9" s="220" t="n"/>
      <c r="I9" s="223" t="n"/>
      <c r="J9" s="222" t="n"/>
      <c r="K9" s="220" t="n"/>
      <c r="L9" s="220" t="n"/>
      <c r="M9" s="223" t="n"/>
      <c r="N9" s="223" t="n"/>
      <c r="O9" s="222" t="n"/>
      <c r="P9" s="229" t="n"/>
      <c r="Q9" s="225" t="n"/>
      <c r="R9" s="236" t="n"/>
      <c r="S9" s="229" t="n"/>
      <c r="T9" s="225" t="n"/>
      <c r="U9" s="222" t="n"/>
      <c r="V9" s="219" t="n"/>
      <c r="W9" s="226" t="n"/>
      <c r="X9" s="222" t="n"/>
      <c r="Y9" s="229" t="n"/>
      <c r="Z9" s="225" t="n"/>
      <c r="AA9" s="176" t="inlineStr">
        <is>
          <t>*KIRMIZI MEYVALI NAKED</t>
        </is>
      </c>
      <c r="AB9" s="173">
        <f>C9+G9+K9+S9+V9+Y9+P9</f>
        <v/>
      </c>
      <c r="AC9" s="173">
        <f>D9+H9+L9+T9+W9+Z9+Q9</f>
        <v/>
      </c>
      <c r="AD9" s="173">
        <f>E9+I9+M9</f>
        <v/>
      </c>
      <c r="AE9" s="173">
        <f>N9</f>
        <v/>
      </c>
    </row>
    <row r="10" ht="78" customHeight="1" thickBot="1">
      <c r="A10" s="143" t="inlineStr">
        <is>
          <t>HASBAHÇE</t>
        </is>
      </c>
      <c r="B10" s="144" t="n"/>
      <c r="C10" s="219" t="n"/>
      <c r="D10" s="220" t="n"/>
      <c r="E10" s="221" t="n"/>
      <c r="F10" s="222" t="n"/>
      <c r="G10" s="219" t="n"/>
      <c r="H10" s="220" t="n"/>
      <c r="I10" s="223" t="n"/>
      <c r="J10" s="222" t="n"/>
      <c r="K10" s="220" t="n"/>
      <c r="L10" s="220" t="n"/>
      <c r="M10" s="223" t="n"/>
      <c r="N10" s="223" t="n"/>
      <c r="O10" s="222" t="n"/>
      <c r="P10" s="229" t="n"/>
      <c r="Q10" s="225" t="n"/>
      <c r="R10" s="236" t="n"/>
      <c r="S10" s="229" t="n"/>
      <c r="T10" s="225" t="n"/>
      <c r="U10" s="222" t="n"/>
      <c r="V10" s="219" t="n"/>
      <c r="W10" s="226" t="n"/>
      <c r="X10" s="222" t="n"/>
      <c r="Y10" s="229" t="n"/>
      <c r="Z10" s="225" t="n"/>
      <c r="AA10" s="177" t="inlineStr">
        <is>
          <t>HASBAHÇE</t>
        </is>
      </c>
      <c r="AB10" s="173">
        <f>C10+G10+K10+S10+V10+Y10+P10</f>
        <v/>
      </c>
      <c r="AC10" s="173">
        <f>D10+H10+L10+T10+W10+Z10+Q10</f>
        <v/>
      </c>
      <c r="AD10" s="173">
        <f>E10+I10+M10</f>
        <v/>
      </c>
      <c r="AE10" s="173">
        <f>N10</f>
        <v/>
      </c>
    </row>
    <row r="11" ht="78" customHeight="1" thickBot="1">
      <c r="A11" s="141" t="inlineStr">
        <is>
          <t>*KESTANELİ FISTIK</t>
        </is>
      </c>
      <c r="B11" s="142" t="n"/>
      <c r="C11" s="219" t="n"/>
      <c r="D11" s="220" t="n"/>
      <c r="E11" s="221" t="n"/>
      <c r="F11" s="222" t="n"/>
      <c r="G11" s="219" t="n"/>
      <c r="H11" s="220" t="n"/>
      <c r="I11" s="223" t="n"/>
      <c r="J11" s="222" t="n"/>
      <c r="K11" s="220" t="n"/>
      <c r="L11" s="220" t="n"/>
      <c r="M11" s="223" t="n"/>
      <c r="N11" s="223" t="n"/>
      <c r="O11" s="222" t="n"/>
      <c r="P11" s="229" t="n"/>
      <c r="Q11" s="225" t="n"/>
      <c r="R11" s="236" t="n"/>
      <c r="S11" s="229" t="n"/>
      <c r="T11" s="225" t="n"/>
      <c r="U11" s="222" t="n"/>
      <c r="V11" s="219" t="n"/>
      <c r="W11" s="226" t="n"/>
      <c r="X11" s="222" t="n"/>
      <c r="Y11" s="229" t="n"/>
      <c r="Z11" s="225" t="n"/>
      <c r="AA11" s="176" t="inlineStr">
        <is>
          <t>*KESTANELİ FISTIK</t>
        </is>
      </c>
      <c r="AB11" s="173">
        <f>C11+G11+K11+S11+V11+Y11+P11</f>
        <v/>
      </c>
      <c r="AC11" s="173">
        <f>D11+H11+L11+T11+W11+Z11+Q11</f>
        <v/>
      </c>
      <c r="AD11" s="173">
        <f>E11+I11+M11</f>
        <v/>
      </c>
      <c r="AE11" s="173">
        <f>N11</f>
        <v/>
      </c>
    </row>
    <row r="12" ht="78" customHeight="1" thickBot="1">
      <c r="A12" s="143" t="inlineStr">
        <is>
          <t>MUZLU BEYAZ ÇİKOLATALI</t>
        </is>
      </c>
      <c r="B12" s="144" t="n"/>
      <c r="C12" s="219" t="n"/>
      <c r="D12" s="220" t="n"/>
      <c r="E12" s="221" t="n"/>
      <c r="F12" s="222" t="n"/>
      <c r="G12" s="219" t="n"/>
      <c r="H12" s="220" t="n"/>
      <c r="I12" s="223" t="n"/>
      <c r="J12" s="222" t="n"/>
      <c r="K12" s="220" t="n"/>
      <c r="L12" s="220" t="n"/>
      <c r="M12" s="223" t="n"/>
      <c r="N12" s="223" t="n"/>
      <c r="O12" s="222" t="n"/>
      <c r="P12" s="229" t="n"/>
      <c r="Q12" s="225" t="n"/>
      <c r="R12" s="236" t="n"/>
      <c r="S12" s="229" t="n"/>
      <c r="T12" s="225" t="n"/>
      <c r="U12" s="222" t="n"/>
      <c r="V12" s="219" t="n"/>
      <c r="W12" s="226" t="n"/>
      <c r="X12" s="222" t="n"/>
      <c r="Y12" s="229" t="n"/>
      <c r="Z12" s="225" t="n"/>
      <c r="AA12" s="177" t="inlineStr">
        <is>
          <t>MUZLU BEYAZ ÇİKOLATALI</t>
        </is>
      </c>
      <c r="AB12" s="173">
        <f>C12+G12+K12+S12+V12+Y12+P12</f>
        <v/>
      </c>
      <c r="AC12" s="173">
        <f>D12+H12+L12+T12+W12+Z12+Q12</f>
        <v/>
      </c>
      <c r="AD12" s="173">
        <f>E12+I12+M12</f>
        <v/>
      </c>
      <c r="AE12" s="173">
        <f>N12</f>
        <v/>
      </c>
    </row>
    <row r="13" ht="78" customHeight="1" thickBot="1">
      <c r="A13" s="143" t="inlineStr">
        <is>
          <t>MUZLU SİYAH ÇİKOLATALI</t>
        </is>
      </c>
      <c r="B13" s="144" t="n"/>
      <c r="C13" s="219" t="n"/>
      <c r="D13" s="220" t="n"/>
      <c r="E13" s="221" t="n"/>
      <c r="F13" s="222" t="n"/>
      <c r="G13" s="219" t="n"/>
      <c r="H13" s="220" t="n"/>
      <c r="I13" s="223" t="n"/>
      <c r="J13" s="222" t="n"/>
      <c r="K13" s="220" t="n"/>
      <c r="L13" s="220" t="n"/>
      <c r="M13" s="223" t="n"/>
      <c r="N13" s="223" t="n"/>
      <c r="O13" s="222" t="n"/>
      <c r="P13" s="229" t="n"/>
      <c r="Q13" s="225" t="n"/>
      <c r="R13" s="236" t="n"/>
      <c r="S13" s="229" t="n"/>
      <c r="T13" s="225" t="n"/>
      <c r="U13" s="222" t="n"/>
      <c r="V13" s="219" t="n"/>
      <c r="W13" s="226" t="n"/>
      <c r="X13" s="222" t="n"/>
      <c r="Y13" s="229" t="n"/>
      <c r="Z13" s="225" t="n"/>
      <c r="AA13" s="177" t="inlineStr">
        <is>
          <t>MUZLU SİYAH ÇİKOLATALI</t>
        </is>
      </c>
      <c r="AB13" s="173">
        <f>C13+G13+K13+S13+V13+Y13+P13</f>
        <v/>
      </c>
      <c r="AC13" s="173">
        <f>D13+H13+L13+T13+W13+Z13+Q13</f>
        <v/>
      </c>
      <c r="AD13" s="173">
        <f>E13+I13+M13</f>
        <v/>
      </c>
      <c r="AE13" s="173">
        <f>N13</f>
        <v/>
      </c>
    </row>
    <row r="14" ht="78" customHeight="1" thickBot="1">
      <c r="A14" s="143" t="inlineStr">
        <is>
          <t>PROFİTEROL SİYAH ÇİKOLATALI</t>
        </is>
      </c>
      <c r="B14" s="144" t="n"/>
      <c r="C14" s="219" t="n"/>
      <c r="D14" s="220" t="n"/>
      <c r="E14" s="221" t="n"/>
      <c r="F14" s="222" t="n"/>
      <c r="G14" s="219" t="n"/>
      <c r="H14" s="220" t="n"/>
      <c r="I14" s="223" t="n"/>
      <c r="J14" s="222" t="n"/>
      <c r="K14" s="220" t="n"/>
      <c r="L14" s="220" t="n"/>
      <c r="M14" s="223" t="n"/>
      <c r="N14" s="223" t="n"/>
      <c r="O14" s="222" t="n"/>
      <c r="P14" s="229" t="n"/>
      <c r="Q14" s="225" t="n"/>
      <c r="R14" s="236" t="n"/>
      <c r="S14" s="229" t="n"/>
      <c r="T14" s="225" t="n"/>
      <c r="U14" s="222" t="n"/>
      <c r="V14" s="219" t="n"/>
      <c r="W14" s="226" t="n"/>
      <c r="X14" s="222" t="n"/>
      <c r="Y14" s="229" t="n"/>
      <c r="Z14" s="225" t="n"/>
      <c r="AA14" s="177" t="inlineStr">
        <is>
          <t>PROFİTEROL SİYAH ÇİKOLATALI</t>
        </is>
      </c>
      <c r="AB14" s="173">
        <f>C14+G14+K14+S14+V14+Y14+P14</f>
        <v/>
      </c>
      <c r="AC14" s="173">
        <f>D14+H14+L14+T14+W14+Z14+Q14</f>
        <v/>
      </c>
      <c r="AD14" s="173">
        <f>E14+I14+M14</f>
        <v/>
      </c>
      <c r="AE14" s="173">
        <f>N14</f>
        <v/>
      </c>
    </row>
    <row r="15" ht="78" customHeight="1" thickBot="1">
      <c r="A15" s="143" t="inlineStr">
        <is>
          <t>MUZ KROKAN</t>
        </is>
      </c>
      <c r="B15" s="144" t="n"/>
      <c r="C15" s="219" t="n"/>
      <c r="D15" s="220" t="n"/>
      <c r="E15" s="221" t="n"/>
      <c r="F15" s="222" t="n"/>
      <c r="G15" s="219" t="n"/>
      <c r="H15" s="220" t="n"/>
      <c r="I15" s="223" t="n"/>
      <c r="J15" s="222" t="n"/>
      <c r="K15" s="220" t="n"/>
      <c r="L15" s="220" t="n"/>
      <c r="M15" s="223" t="n"/>
      <c r="N15" s="223" t="n"/>
      <c r="O15" s="222" t="n"/>
      <c r="P15" s="229" t="n"/>
      <c r="Q15" s="225" t="n"/>
      <c r="R15" s="236" t="n"/>
      <c r="S15" s="229" t="n"/>
      <c r="T15" s="225" t="n"/>
      <c r="U15" s="222" t="n"/>
      <c r="V15" s="219" t="n"/>
      <c r="W15" s="226" t="n"/>
      <c r="X15" s="222" t="n"/>
      <c r="Y15" s="229" t="n"/>
      <c r="Z15" s="225" t="n"/>
      <c r="AA15" s="177" t="inlineStr">
        <is>
          <t>MUZ KROKAN</t>
        </is>
      </c>
      <c r="AB15" s="173">
        <f>C15+G15+K15+S15+V15+Y15+P15</f>
        <v/>
      </c>
      <c r="AC15" s="173">
        <f>D15+H15+L15+T15+W15+Z15+Q15</f>
        <v/>
      </c>
      <c r="AD15" s="173">
        <f>E15+I15+M15</f>
        <v/>
      </c>
      <c r="AE15" s="173">
        <f>N15</f>
        <v/>
      </c>
    </row>
    <row r="16" ht="78" customHeight="1" thickBot="1">
      <c r="A16" s="143" t="inlineStr">
        <is>
          <t>ÇİLEKLİ SİYAH ÇİKOLATALI</t>
        </is>
      </c>
      <c r="B16" s="144" t="n"/>
      <c r="C16" s="219" t="n"/>
      <c r="D16" s="220" t="n"/>
      <c r="E16" s="221" t="n"/>
      <c r="F16" s="222" t="n"/>
      <c r="G16" s="219" t="n"/>
      <c r="H16" s="220" t="n"/>
      <c r="I16" s="223" t="n"/>
      <c r="J16" s="222" t="n"/>
      <c r="K16" s="220" t="n"/>
      <c r="L16" s="220" t="n"/>
      <c r="M16" s="223" t="n"/>
      <c r="N16" s="223" t="n"/>
      <c r="O16" s="222" t="n"/>
      <c r="P16" s="229" t="n"/>
      <c r="Q16" s="225" t="n"/>
      <c r="R16" s="236" t="n"/>
      <c r="S16" s="229" t="n"/>
      <c r="T16" s="225" t="n"/>
      <c r="U16" s="222" t="n"/>
      <c r="V16" s="219" t="n"/>
      <c r="W16" s="226" t="n"/>
      <c r="X16" s="222" t="n"/>
      <c r="Y16" s="229" t="n"/>
      <c r="Z16" s="225" t="n"/>
      <c r="AA16" s="177" t="inlineStr">
        <is>
          <t>ÇİLEKLİ SİYAH ÇİKOLATALI</t>
        </is>
      </c>
      <c r="AB16" s="173">
        <f>C16+G16+K16+S16+V16+Y16+P16</f>
        <v/>
      </c>
      <c r="AC16" s="173">
        <f>D16+H16+L16+T16+W16+Z16+Q16</f>
        <v/>
      </c>
      <c r="AD16" s="173">
        <f>E16+I16+M16</f>
        <v/>
      </c>
      <c r="AE16" s="173">
        <f>N16</f>
        <v/>
      </c>
    </row>
    <row r="17" ht="78" customHeight="1" thickBot="1">
      <c r="A17" s="143" t="inlineStr">
        <is>
          <t>ÇİLEKLİ BEYAZ ÇİKOLATALI</t>
        </is>
      </c>
      <c r="B17" s="144" t="n"/>
      <c r="C17" s="219" t="n"/>
      <c r="D17" s="220" t="n"/>
      <c r="E17" s="221" t="n"/>
      <c r="F17" s="222" t="n"/>
      <c r="G17" s="219" t="n"/>
      <c r="H17" s="220" t="n"/>
      <c r="I17" s="223" t="n"/>
      <c r="J17" s="222" t="n"/>
      <c r="K17" s="220" t="n"/>
      <c r="L17" s="220" t="n"/>
      <c r="M17" s="223" t="n"/>
      <c r="N17" s="223" t="n"/>
      <c r="O17" s="222" t="n"/>
      <c r="P17" s="229" t="n"/>
      <c r="Q17" s="225" t="n"/>
      <c r="R17" s="236" t="n"/>
      <c r="S17" s="229" t="n"/>
      <c r="T17" s="225" t="n"/>
      <c r="U17" s="222" t="n"/>
      <c r="V17" s="219" t="n"/>
      <c r="W17" s="226" t="n"/>
      <c r="X17" s="222" t="n"/>
      <c r="Y17" s="229" t="n"/>
      <c r="Z17" s="225" t="n"/>
      <c r="AA17" s="177" t="inlineStr">
        <is>
          <t>ÇİLEKLİ BEYAZ ÇİKOLATALI</t>
        </is>
      </c>
      <c r="AB17" s="173">
        <f>C17+G17+K17+S17+V17+Y17+P17</f>
        <v/>
      </c>
      <c r="AC17" s="173">
        <f>D17+H17+L17+T17+W17+Z17+Q17</f>
        <v/>
      </c>
      <c r="AD17" s="173">
        <f>E17+I17+M17</f>
        <v/>
      </c>
      <c r="AE17" s="173">
        <f>N17</f>
        <v/>
      </c>
    </row>
    <row r="18" ht="78" customHeight="1" thickBot="1">
      <c r="A18" s="141" t="inlineStr">
        <is>
          <t>*VİŞNE SİYAH ÇİKOLATALI</t>
        </is>
      </c>
      <c r="B18" s="142" t="n"/>
      <c r="C18" s="219" t="n"/>
      <c r="D18" s="220" t="n"/>
      <c r="E18" s="221" t="n"/>
      <c r="F18" s="222" t="n"/>
      <c r="G18" s="219" t="n"/>
      <c r="H18" s="220" t="n"/>
      <c r="I18" s="223" t="n"/>
      <c r="J18" s="222" t="n"/>
      <c r="K18" s="220" t="n"/>
      <c r="L18" s="220" t="n"/>
      <c r="M18" s="223" t="n"/>
      <c r="N18" s="223" t="n"/>
      <c r="O18" s="222" t="n"/>
      <c r="P18" s="229" t="n"/>
      <c r="Q18" s="225" t="n"/>
      <c r="R18" s="236" t="n"/>
      <c r="S18" s="229" t="n"/>
      <c r="T18" s="225" t="n"/>
      <c r="U18" s="222" t="n"/>
      <c r="V18" s="219" t="n"/>
      <c r="W18" s="226" t="n"/>
      <c r="X18" s="222" t="n"/>
      <c r="Y18" s="229" t="n"/>
      <c r="Z18" s="225" t="n"/>
      <c r="AA18" s="176" t="inlineStr">
        <is>
          <t>*VİŞNE SİYAH ÇİKOLATALI</t>
        </is>
      </c>
      <c r="AB18" s="173">
        <f>C18+G18+K18+S18+V18+Y18+P18</f>
        <v/>
      </c>
      <c r="AC18" s="173">
        <f>D18+H18+L18+T18+W18+Z18+Q18</f>
        <v/>
      </c>
      <c r="AD18" s="173">
        <f>E18+I18+M18</f>
        <v/>
      </c>
      <c r="AE18" s="173">
        <f>N18</f>
        <v/>
      </c>
    </row>
    <row r="19" ht="78" customHeight="1" thickBot="1">
      <c r="A19" s="141" t="inlineStr">
        <is>
          <t>*FRAMBUAZ MUZ NAKED</t>
        </is>
      </c>
      <c r="B19" s="142" t="n"/>
      <c r="C19" s="219" t="n"/>
      <c r="D19" s="220" t="n"/>
      <c r="E19" s="221" t="n"/>
      <c r="F19" s="222" t="n"/>
      <c r="G19" s="219" t="n"/>
      <c r="H19" s="220" t="n"/>
      <c r="I19" s="223" t="n"/>
      <c r="J19" s="222" t="n"/>
      <c r="K19" s="220" t="n"/>
      <c r="L19" s="220" t="n"/>
      <c r="M19" s="223" t="n"/>
      <c r="N19" s="223" t="n"/>
      <c r="O19" s="222" t="n"/>
      <c r="P19" s="229" t="n"/>
      <c r="Q19" s="225" t="n"/>
      <c r="R19" s="236" t="n"/>
      <c r="S19" s="229" t="n"/>
      <c r="T19" s="225" t="n"/>
      <c r="U19" s="222" t="n"/>
      <c r="V19" s="219" t="n"/>
      <c r="W19" s="226" t="n"/>
      <c r="X19" s="222" t="n"/>
      <c r="Y19" s="229" t="n"/>
      <c r="Z19" s="225" t="n"/>
      <c r="AA19" s="176" t="inlineStr">
        <is>
          <t>*FRAMBUAZ MUZ NAKED</t>
        </is>
      </c>
      <c r="AB19" s="173">
        <f>C19+G19+K19+S19+V19+Y19+P19</f>
        <v/>
      </c>
      <c r="AC19" s="173">
        <f>D19+H19+L19+T19+W19+Z19+Q19</f>
        <v/>
      </c>
      <c r="AD19" s="173">
        <f>E19+I19+M19</f>
        <v/>
      </c>
      <c r="AE19" s="173">
        <f>N19</f>
        <v/>
      </c>
    </row>
    <row r="20" ht="78" customHeight="1" thickBot="1">
      <c r="A20" s="143" t="inlineStr">
        <is>
          <t xml:space="preserve">FRAMBUAZ ÇİLEK BEYAZ </t>
        </is>
      </c>
      <c r="B20" s="144" t="n"/>
      <c r="C20" s="219" t="n"/>
      <c r="D20" s="220" t="n"/>
      <c r="E20" s="221" t="n"/>
      <c r="F20" s="222" t="n"/>
      <c r="G20" s="219" t="n"/>
      <c r="H20" s="220" t="n"/>
      <c r="I20" s="223" t="n"/>
      <c r="J20" s="222" t="n"/>
      <c r="K20" s="220" t="n"/>
      <c r="L20" s="220" t="n"/>
      <c r="M20" s="223" t="n"/>
      <c r="N20" s="223" t="n"/>
      <c r="O20" s="222" t="n"/>
      <c r="P20" s="229" t="n"/>
      <c r="Q20" s="225" t="n"/>
      <c r="R20" s="236" t="n"/>
      <c r="S20" s="229" t="n"/>
      <c r="T20" s="225" t="n"/>
      <c r="U20" s="222" t="n"/>
      <c r="V20" s="219" t="n"/>
      <c r="W20" s="226" t="n"/>
      <c r="X20" s="222" t="n"/>
      <c r="Y20" s="229" t="n"/>
      <c r="Z20" s="225" t="n"/>
      <c r="AA20" s="177" t="inlineStr">
        <is>
          <t xml:space="preserve">FRAMBUAZ ÇİLEK BEYAZ </t>
        </is>
      </c>
      <c r="AB20" s="173">
        <f>C20+G20+K20+S20+V20+Y20+P20</f>
        <v/>
      </c>
      <c r="AC20" s="173">
        <f>D20+H20+L20+T20+W20+Z20+Q20</f>
        <v/>
      </c>
      <c r="AD20" s="173">
        <f>E20+I20+M20</f>
        <v/>
      </c>
      <c r="AE20" s="173">
        <f>N20</f>
        <v/>
      </c>
    </row>
    <row r="21" ht="78" customHeight="1" thickBot="1">
      <c r="A21" s="143" t="inlineStr">
        <is>
          <t>MUZ ÇİLEK NAKED</t>
        </is>
      </c>
      <c r="B21" s="144" t="n"/>
      <c r="C21" s="219" t="n"/>
      <c r="D21" s="220" t="n"/>
      <c r="E21" s="221" t="n"/>
      <c r="F21" s="222" t="n"/>
      <c r="G21" s="219" t="n"/>
      <c r="H21" s="220" t="n"/>
      <c r="I21" s="223" t="n"/>
      <c r="J21" s="222" t="n"/>
      <c r="K21" s="220" t="n"/>
      <c r="L21" s="220" t="n"/>
      <c r="M21" s="223" t="n"/>
      <c r="N21" s="223" t="n"/>
      <c r="O21" s="222" t="n"/>
      <c r="P21" s="229" t="n"/>
      <c r="Q21" s="225" t="n"/>
      <c r="R21" s="236" t="n"/>
      <c r="S21" s="229" t="n"/>
      <c r="T21" s="225" t="n"/>
      <c r="U21" s="222" t="n"/>
      <c r="V21" s="219" t="n"/>
      <c r="W21" s="226" t="n"/>
      <c r="X21" s="222" t="n"/>
      <c r="Y21" s="229" t="n"/>
      <c r="Z21" s="225" t="n"/>
      <c r="AA21" s="177" t="inlineStr">
        <is>
          <t>MUZ ÇİLEK NAKED</t>
        </is>
      </c>
      <c r="AB21" s="173">
        <f>C21+G21+K21+S21+V21+Y21+P21</f>
        <v/>
      </c>
      <c r="AC21" s="173">
        <f>D21+H21+L21+T21+W21+Z21+Q21</f>
        <v/>
      </c>
      <c r="AD21" s="173">
        <f>E21+I21+M21</f>
        <v/>
      </c>
      <c r="AE21" s="173">
        <f>N21</f>
        <v/>
      </c>
    </row>
    <row r="22" ht="78" customHeight="1" thickBot="1">
      <c r="A22" s="143" t="inlineStr">
        <is>
          <t>MOİS PASTA</t>
        </is>
      </c>
      <c r="B22" s="144" t="n"/>
      <c r="C22" s="219" t="n"/>
      <c r="D22" s="220" t="n"/>
      <c r="E22" s="221" t="n"/>
      <c r="F22" s="222" t="n"/>
      <c r="G22" s="219" t="n"/>
      <c r="H22" s="220" t="n"/>
      <c r="I22" s="223" t="n"/>
      <c r="J22" s="222" t="n"/>
      <c r="K22" s="220" t="n"/>
      <c r="L22" s="220" t="n"/>
      <c r="M22" s="223" t="n"/>
      <c r="N22" s="223" t="n"/>
      <c r="O22" s="222" t="n"/>
      <c r="P22" s="229" t="n"/>
      <c r="Q22" s="225" t="n"/>
      <c r="R22" s="236" t="n"/>
      <c r="S22" s="229" t="n"/>
      <c r="T22" s="225" t="n"/>
      <c r="U22" s="222" t="n"/>
      <c r="V22" s="219" t="n"/>
      <c r="W22" s="226" t="n"/>
      <c r="X22" s="222" t="n"/>
      <c r="Y22" s="229" t="n"/>
      <c r="Z22" s="225" t="n"/>
      <c r="AA22" s="177" t="inlineStr">
        <is>
          <t>MOİS PASTA</t>
        </is>
      </c>
      <c r="AB22" s="173">
        <f>C22+G22+K22+S22+V22+Y22+P22</f>
        <v/>
      </c>
      <c r="AC22" s="173">
        <f>D22+H22+L22+T22+W22+Z22+Q22</f>
        <v/>
      </c>
      <c r="AD22" s="173">
        <f>E22+I22+M22</f>
        <v/>
      </c>
      <c r="AE22" s="173">
        <f>N22</f>
        <v/>
      </c>
    </row>
    <row r="23" ht="78" customHeight="1" thickBot="1">
      <c r="A23" s="145" t="inlineStr">
        <is>
          <t>HASBAHÇE SİYAH</t>
        </is>
      </c>
      <c r="B23" s="146" t="n"/>
      <c r="C23" s="219" t="n"/>
      <c r="D23" s="220" t="n"/>
      <c r="E23" s="221" t="n"/>
      <c r="F23" s="222" t="n"/>
      <c r="G23" s="219" t="n"/>
      <c r="H23" s="220" t="n"/>
      <c r="I23" s="223" t="n"/>
      <c r="J23" s="222" t="n"/>
      <c r="K23" s="220" t="n"/>
      <c r="L23" s="220" t="n"/>
      <c r="M23" s="223" t="n"/>
      <c r="N23" s="223" t="n"/>
      <c r="O23" s="222" t="n"/>
      <c r="P23" s="229" t="n"/>
      <c r="Q23" s="225" t="n"/>
      <c r="R23" s="236" t="n"/>
      <c r="S23" s="229" t="n"/>
      <c r="T23" s="225" t="n"/>
      <c r="U23" s="222" t="n"/>
      <c r="V23" s="219" t="n"/>
      <c r="W23" s="226" t="n"/>
      <c r="X23" s="222" t="n"/>
      <c r="Y23" s="229" t="n"/>
      <c r="Z23" s="225" t="n"/>
      <c r="AA23" s="178" t="inlineStr">
        <is>
          <t>HASBAHÇE SİYAH</t>
        </is>
      </c>
      <c r="AB23" s="173">
        <f>C23+G23+K23+S23+V23+Y23+P23</f>
        <v/>
      </c>
      <c r="AC23" s="173">
        <f>D23+H23+L23+T23+W23+Z23+Q23</f>
        <v/>
      </c>
      <c r="AD23" s="173">
        <f>E23+I23+M23</f>
        <v/>
      </c>
      <c r="AE23" s="173">
        <f>N23</f>
        <v/>
      </c>
    </row>
    <row r="24" ht="78" customHeight="1" thickBot="1">
      <c r="A24" s="135" t="inlineStr">
        <is>
          <t>*VİŞNE BEYAZ</t>
        </is>
      </c>
      <c r="B24" s="136" t="n"/>
      <c r="C24" s="219" t="n"/>
      <c r="D24" s="220" t="n"/>
      <c r="E24" s="221" t="n"/>
      <c r="F24" s="222" t="n"/>
      <c r="G24" s="219" t="n"/>
      <c r="H24" s="220" t="n"/>
      <c r="I24" s="223" t="n"/>
      <c r="J24" s="222" t="n"/>
      <c r="K24" s="220" t="n"/>
      <c r="L24" s="220" t="n"/>
      <c r="M24" s="223" t="n"/>
      <c r="N24" s="223" t="n"/>
      <c r="O24" s="222" t="n"/>
      <c r="P24" s="229" t="n"/>
      <c r="Q24" s="225" t="n"/>
      <c r="R24" s="236" t="n"/>
      <c r="S24" s="229" t="n"/>
      <c r="T24" s="225" t="n"/>
      <c r="U24" s="222" t="n"/>
      <c r="V24" s="219" t="n"/>
      <c r="W24" s="226" t="n"/>
      <c r="X24" s="222" t="n"/>
      <c r="Y24" s="229" t="n"/>
      <c r="Z24" s="225" t="n"/>
      <c r="AA24" s="172" t="inlineStr">
        <is>
          <t>*VİŞNE BEYAZ</t>
        </is>
      </c>
      <c r="AB24" s="173">
        <f>C24+G24+K24+S24+V24+Y24+P24</f>
        <v/>
      </c>
      <c r="AC24" s="173">
        <f>D24+H24+L24+T24+W24+Z24+Q24</f>
        <v/>
      </c>
      <c r="AD24" s="173">
        <f>E24+I24+M24</f>
        <v/>
      </c>
      <c r="AE24" s="173">
        <f>N24</f>
        <v/>
      </c>
    </row>
    <row r="25" ht="78" customHeight="1" thickBot="1">
      <c r="A25" s="143" t="inlineStr">
        <is>
          <t>BADEM KROKAN</t>
        </is>
      </c>
      <c r="B25" s="146" t="n"/>
      <c r="C25" s="219" t="n"/>
      <c r="D25" s="220" t="n"/>
      <c r="E25" s="221" t="n"/>
      <c r="F25" s="222" t="n"/>
      <c r="G25" s="219" t="n"/>
      <c r="H25" s="220" t="n"/>
      <c r="I25" s="223" t="n"/>
      <c r="J25" s="222" t="n"/>
      <c r="K25" s="220" t="n"/>
      <c r="L25" s="220" t="n"/>
      <c r="M25" s="223" t="n"/>
      <c r="N25" s="223" t="n"/>
      <c r="O25" s="222" t="n"/>
      <c r="P25" s="229" t="n"/>
      <c r="Q25" s="225" t="n"/>
      <c r="R25" s="236" t="n"/>
      <c r="S25" s="229" t="n"/>
      <c r="T25" s="225" t="n"/>
      <c r="U25" s="222" t="n"/>
      <c r="V25" s="219" t="n"/>
      <c r="W25" s="226" t="n"/>
      <c r="X25" s="222" t="n"/>
      <c r="Y25" s="229" t="n"/>
      <c r="Z25" s="225" t="n"/>
      <c r="AA25" s="177" t="inlineStr">
        <is>
          <t>BADEM KROKAN</t>
        </is>
      </c>
      <c r="AB25" s="173">
        <f>C25+G25+K25+S25+V25+Y25+P25</f>
        <v/>
      </c>
      <c r="AC25" s="173">
        <f>D25+H25+L25+T25+W25+Z25+Q25</f>
        <v/>
      </c>
      <c r="AD25" s="173">
        <f>E25+I25+M25</f>
        <v/>
      </c>
      <c r="AE25" s="173">
        <f>N25</f>
        <v/>
      </c>
    </row>
    <row r="26" ht="46" customHeight="1" thickBot="1">
      <c r="A26" s="94" t="n"/>
      <c r="B26" s="92" t="n"/>
      <c r="C26" s="85" t="n"/>
      <c r="D26" s="86" t="n"/>
      <c r="E26" s="87" t="n"/>
      <c r="F26" s="88" t="n"/>
      <c r="G26" s="85" t="n"/>
      <c r="H26" s="86" t="n"/>
      <c r="I26" s="327" t="n"/>
      <c r="J26" s="88" t="n"/>
      <c r="K26" s="86" t="n"/>
      <c r="L26" s="86" t="n"/>
      <c r="M26" s="585" t="n"/>
      <c r="N26" s="327" t="n"/>
      <c r="O26" s="88" t="n"/>
      <c r="P26" s="78" t="n"/>
      <c r="Q26" s="90" t="n"/>
      <c r="R26" s="237" t="n"/>
      <c r="S26" s="78" t="n"/>
      <c r="T26" s="90" t="n"/>
      <c r="U26" s="88" t="n"/>
      <c r="V26" s="85" t="n"/>
      <c r="W26" s="91" t="n"/>
      <c r="X26" s="88" t="n"/>
      <c r="Y26" s="78" t="n"/>
      <c r="Z26" s="90" t="n"/>
      <c r="AA26" s="179" t="n"/>
      <c r="AB26" s="180" t="n"/>
      <c r="AC26" s="180" t="n"/>
      <c r="AD26" s="180" t="n"/>
      <c r="AE26" s="181" t="n"/>
    </row>
    <row r="27" ht="78" customHeight="1" thickBot="1">
      <c r="A27" s="145" t="inlineStr">
        <is>
          <t>SAN SEBASTİAN</t>
        </is>
      </c>
      <c r="B27" s="93" t="n"/>
      <c r="C27" s="586" t="n"/>
      <c r="D27" s="573" t="n"/>
      <c r="E27" s="574" t="n"/>
      <c r="F27" s="232" t="n"/>
      <c r="G27" s="586" t="n"/>
      <c r="H27" s="573" t="n"/>
      <c r="I27" s="574" t="n"/>
      <c r="J27" s="232" t="n"/>
      <c r="K27" s="586" t="n"/>
      <c r="L27" s="573" t="n"/>
      <c r="M27" s="573" t="n"/>
      <c r="N27" s="574" t="n"/>
      <c r="O27" s="232" t="n"/>
      <c r="P27" s="586" t="n"/>
      <c r="Q27" s="574" t="n"/>
      <c r="R27" s="238" t="n"/>
      <c r="S27" s="586" t="n"/>
      <c r="T27" s="574" t="n"/>
      <c r="U27" s="232" t="n"/>
      <c r="V27" s="587" t="n"/>
      <c r="W27" s="574" t="n"/>
      <c r="X27" s="232" t="n"/>
      <c r="Y27" s="587" t="n"/>
      <c r="Z27" s="574" t="n"/>
      <c r="AA27" s="178" t="inlineStr">
        <is>
          <t>SAN SEBASTİAN</t>
        </is>
      </c>
      <c r="AB27" s="588">
        <f>C27+G27+K27+P27+S27+V27+Y27</f>
        <v/>
      </c>
      <c r="AC27" s="567" t="n"/>
      <c r="AD27" s="567" t="n"/>
      <c r="AE27" s="568" t="n"/>
    </row>
  </sheetData>
  <mergeCells count="17">
    <mergeCell ref="L26:M26"/>
    <mergeCell ref="C1:E1"/>
    <mergeCell ref="G1:I1"/>
    <mergeCell ref="C27:E27"/>
    <mergeCell ref="AB1:AE1"/>
    <mergeCell ref="G27:I27"/>
    <mergeCell ref="AB27:AE27"/>
    <mergeCell ref="V1:W1"/>
    <mergeCell ref="S1:T1"/>
    <mergeCell ref="K1:N1"/>
    <mergeCell ref="V27:W27"/>
    <mergeCell ref="Y1:Z1"/>
    <mergeCell ref="P1:Q1"/>
    <mergeCell ref="P27:Q27"/>
    <mergeCell ref="S27:T27"/>
    <mergeCell ref="K27:N27"/>
    <mergeCell ref="Y27:Z27"/>
  </mergeCells>
  <pageMargins left="0.7" right="0.7" top="0.75" bottom="0.75" header="0.3" footer="0.3"/>
  <pageSetup orientation="portrait" paperSize="9" scale="1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AC82"/>
  <sheetViews>
    <sheetView topLeftCell="A49" zoomScale="63" zoomScaleNormal="63" workbookViewId="0">
      <selection activeCell="D63" sqref="D63:V82"/>
    </sheetView>
  </sheetViews>
  <sheetFormatPr baseColWidth="10" defaultColWidth="8.83203125" defaultRowHeight="15"/>
  <cols>
    <col width="8.6640625" customWidth="1" min="1" max="1"/>
    <col width="26.5" customWidth="1" min="2" max="2"/>
    <col width="30.1640625" customWidth="1" min="3" max="3"/>
    <col width="18" customWidth="1" min="5" max="5"/>
    <col width="1" customWidth="1" min="8" max="8"/>
    <col width="13.5" customWidth="1" min="10" max="10"/>
    <col width="0.6640625" customWidth="1" min="13" max="13"/>
    <col width="13.6640625" customWidth="1" min="15" max="15"/>
    <col width="9.5" customWidth="1" min="17" max="17"/>
    <col width="1" customWidth="1" min="18" max="18"/>
    <col width="14.1640625" customWidth="1" min="19" max="19"/>
    <col width="9.1640625" customWidth="1" min="20" max="20"/>
    <col width="9.6640625" customWidth="1" min="22" max="22"/>
    <col width="19.5" customWidth="1" min="25" max="25"/>
    <col width="8.5" customWidth="1" min="27" max="27"/>
    <col hidden="1" width="9.33203125" customWidth="1" min="28" max="29"/>
  </cols>
  <sheetData>
    <row r="2" ht="16" customHeight="1" thickBot="1"/>
    <row r="3" ht="16" customHeight="1" thickBot="1">
      <c r="A3" s="1" t="inlineStr">
        <is>
          <t>LA VİTA</t>
        </is>
      </c>
      <c r="B3" s="6" t="n">
        <v>46220</v>
      </c>
    </row>
    <row r="4" ht="16" customHeight="1" thickBot="1">
      <c r="A4" s="1" t="inlineStr">
        <is>
          <t>GÜN:</t>
        </is>
      </c>
      <c r="B4" s="1" t="inlineStr">
        <is>
          <t>Cuma</t>
        </is>
      </c>
    </row>
    <row r="5" ht="52" customFormat="1" customHeight="1" s="249" thickBot="1">
      <c r="A5" s="370" t="inlineStr">
        <is>
          <t>TATLI KURABİYELER</t>
        </is>
      </c>
      <c r="D5" s="371" t="inlineStr">
        <is>
          <t>NİŞANTAŞI</t>
        </is>
      </c>
      <c r="E5" s="589" t="n"/>
      <c r="F5" s="590" t="inlineStr">
        <is>
          <t>GİDEN</t>
        </is>
      </c>
      <c r="G5" s="591" t="n"/>
      <c r="H5" s="247" t="n">
        <v>2</v>
      </c>
      <c r="I5" s="592" t="inlineStr">
        <is>
          <t>FULYA</t>
        </is>
      </c>
      <c r="J5" s="591" t="n"/>
      <c r="K5" s="592" t="inlineStr">
        <is>
          <t>GİDEN</t>
        </is>
      </c>
      <c r="L5" s="591" t="n"/>
      <c r="M5" s="247" t="n"/>
      <c r="N5" s="593" t="inlineStr">
        <is>
          <t>MASLAK</t>
        </is>
      </c>
      <c r="O5" s="591" t="n"/>
      <c r="P5" s="397" t="inlineStr">
        <is>
          <t>GİDEN</t>
        </is>
      </c>
      <c r="Q5" s="589" t="n"/>
      <c r="R5" s="248" t="n"/>
      <c r="S5" s="594" t="inlineStr">
        <is>
          <t>K.BURNU</t>
        </is>
      </c>
      <c r="T5" s="591" t="n"/>
      <c r="U5" s="594" t="inlineStr">
        <is>
          <t>GİDEN</t>
        </is>
      </c>
      <c r="V5" s="591" t="n"/>
      <c r="W5" s="595" t="inlineStr">
        <is>
          <t>TATLI KURABİYELER</t>
        </is>
      </c>
      <c r="X5" s="596" t="n"/>
      <c r="Y5" s="591" t="n"/>
      <c r="Z5" s="597" t="inlineStr">
        <is>
          <t>TOPLAM ADET</t>
        </is>
      </c>
      <c r="AA5" s="596" t="n"/>
      <c r="AB5" s="596" t="n"/>
      <c r="AC5" s="591" t="n"/>
    </row>
    <row r="6" ht="75" customHeight="1">
      <c r="A6" s="369" t="inlineStr">
        <is>
          <t>İNCİRLİ COCO</t>
        </is>
      </c>
      <c r="B6" s="564" t="n"/>
      <c r="C6" s="565" t="n"/>
      <c r="D6" s="375" t="n"/>
      <c r="E6" s="598" t="n"/>
      <c r="F6" s="375" t="n"/>
      <c r="G6" s="598" t="n"/>
      <c r="H6" s="129" t="n"/>
      <c r="I6" s="375" t="n"/>
      <c r="J6" s="598" t="n"/>
      <c r="K6" s="375" t="n"/>
      <c r="L6" s="598" t="n"/>
      <c r="M6" s="129" t="n"/>
      <c r="N6" s="375" t="n"/>
      <c r="O6" s="598" t="n"/>
      <c r="P6" s="375" t="n"/>
      <c r="Q6" s="598" t="n"/>
      <c r="R6" s="130" t="n"/>
      <c r="S6" s="375" t="n"/>
      <c r="T6" s="598" t="n"/>
      <c r="U6" s="375" t="n"/>
      <c r="V6" s="598" t="n"/>
      <c r="W6" s="407" t="inlineStr">
        <is>
          <t>İNCİRLİ COCO</t>
        </is>
      </c>
      <c r="X6" s="584" t="n"/>
      <c r="Y6" s="598" t="n"/>
      <c r="Z6" s="411">
        <f>D6+I6+N6+S6</f>
        <v/>
      </c>
      <c r="AA6" s="584" t="n"/>
      <c r="AB6" s="584" t="n"/>
      <c r="AC6" s="598" t="n"/>
    </row>
    <row r="7" ht="75" customHeight="1">
      <c r="A7" s="369" t="inlineStr">
        <is>
          <t>KAYISILI COCO</t>
        </is>
      </c>
      <c r="B7" s="564" t="n"/>
      <c r="C7" s="565" t="n"/>
      <c r="D7" s="375" t="n"/>
      <c r="E7" s="598" t="n"/>
      <c r="F7" s="375" t="n"/>
      <c r="G7" s="598" t="n"/>
      <c r="H7" s="129" t="n"/>
      <c r="I7" s="368" t="n"/>
      <c r="J7" s="565" t="n"/>
      <c r="K7" s="368" t="n"/>
      <c r="L7" s="565" t="n"/>
      <c r="M7" s="129" t="n"/>
      <c r="N7" s="375" t="n"/>
      <c r="O7" s="598" t="n"/>
      <c r="P7" s="368" t="n"/>
      <c r="Q7" s="565" t="n"/>
      <c r="R7" s="130" t="n"/>
      <c r="S7" s="368" t="n"/>
      <c r="T7" s="565" t="n"/>
      <c r="U7" s="368" t="n"/>
      <c r="V7" s="565" t="n"/>
      <c r="W7" s="403" t="inlineStr">
        <is>
          <t>KAYISILI COCO</t>
        </is>
      </c>
      <c r="X7" s="564" t="n"/>
      <c r="Y7" s="565" t="n"/>
      <c r="Z7" s="411">
        <f>D7+I7+N7+S7</f>
        <v/>
      </c>
      <c r="AA7" s="584" t="n"/>
      <c r="AB7" s="584" t="n"/>
      <c r="AC7" s="598" t="n"/>
    </row>
    <row r="8" ht="75" customHeight="1">
      <c r="A8" s="369" t="inlineStr">
        <is>
          <t>COCO HİNDİSTAN CEVİZLİ</t>
        </is>
      </c>
      <c r="B8" s="564" t="n"/>
      <c r="C8" s="565" t="n"/>
      <c r="D8" s="375" t="n"/>
      <c r="E8" s="598" t="n"/>
      <c r="F8" s="375" t="n"/>
      <c r="G8" s="598" t="n"/>
      <c r="H8" s="129" t="n"/>
      <c r="I8" s="368" t="n"/>
      <c r="J8" s="565" t="n"/>
      <c r="K8" s="368" t="n"/>
      <c r="L8" s="565" t="n"/>
      <c r="M8" s="129" t="n"/>
      <c r="N8" s="368" t="n"/>
      <c r="O8" s="565" t="n"/>
      <c r="P8" s="368" t="n"/>
      <c r="Q8" s="565" t="n"/>
      <c r="R8" s="130" t="n"/>
      <c r="S8" s="368" t="n"/>
      <c r="T8" s="565" t="n"/>
      <c r="U8" s="368" t="n"/>
      <c r="V8" s="565" t="n"/>
      <c r="W8" s="403" t="inlineStr">
        <is>
          <t>COCO HİNDİSTAN CEVİZLİ</t>
        </is>
      </c>
      <c r="X8" s="564" t="n"/>
      <c r="Y8" s="565" t="n"/>
      <c r="Z8" s="411">
        <f>D8+I8+N8+S8</f>
        <v/>
      </c>
      <c r="AA8" s="584" t="n"/>
      <c r="AB8" s="584" t="n"/>
      <c r="AC8" s="598" t="n"/>
    </row>
    <row r="9" ht="75" customHeight="1">
      <c r="A9" s="369" t="inlineStr">
        <is>
          <t>SUFLE SADE</t>
        </is>
      </c>
      <c r="B9" s="564" t="n"/>
      <c r="C9" s="565" t="n"/>
      <c r="D9" s="375" t="n"/>
      <c r="E9" s="598" t="n"/>
      <c r="F9" s="375" t="n"/>
      <c r="G9" s="598" t="n"/>
      <c r="H9" s="129" t="n"/>
      <c r="I9" s="368" t="n"/>
      <c r="J9" s="565" t="n"/>
      <c r="K9" s="368" t="n"/>
      <c r="L9" s="565" t="n"/>
      <c r="M9" s="129" t="n"/>
      <c r="N9" s="368" t="n"/>
      <c r="O9" s="565" t="n"/>
      <c r="P9" s="368" t="n"/>
      <c r="Q9" s="565" t="n"/>
      <c r="R9" s="130" t="n"/>
      <c r="S9" s="368" t="n"/>
      <c r="T9" s="565" t="n"/>
      <c r="U9" s="368" t="n"/>
      <c r="V9" s="565" t="n"/>
      <c r="W9" s="403" t="inlineStr">
        <is>
          <t>SUFLE SADE</t>
        </is>
      </c>
      <c r="X9" s="564" t="n"/>
      <c r="Y9" s="565" t="n"/>
      <c r="Z9" s="411">
        <f>D9+I9+N9+S9</f>
        <v/>
      </c>
      <c r="AA9" s="584" t="n"/>
      <c r="AB9" s="584" t="n"/>
      <c r="AC9" s="598" t="n"/>
    </row>
    <row r="10" ht="75" customHeight="1">
      <c r="A10" s="369" t="inlineStr">
        <is>
          <t>SUFLE VİŞNELİ</t>
        </is>
      </c>
      <c r="B10" s="564" t="n"/>
      <c r="C10" s="565" t="n"/>
      <c r="D10" s="375" t="n"/>
      <c r="E10" s="598" t="n"/>
      <c r="F10" s="375" t="n"/>
      <c r="G10" s="598" t="n"/>
      <c r="H10" s="129" t="n"/>
      <c r="I10" s="368" t="n"/>
      <c r="J10" s="565" t="n"/>
      <c r="K10" s="368" t="n"/>
      <c r="L10" s="565" t="n"/>
      <c r="M10" s="129" t="n"/>
      <c r="N10" s="368" t="n"/>
      <c r="O10" s="565" t="n"/>
      <c r="P10" s="368" t="n"/>
      <c r="Q10" s="565" t="n"/>
      <c r="R10" s="130" t="n"/>
      <c r="S10" s="368" t="n"/>
      <c r="T10" s="565" t="n"/>
      <c r="U10" s="368" t="n"/>
      <c r="V10" s="565" t="n"/>
      <c r="W10" s="403" t="inlineStr">
        <is>
          <t>SUFLE VİŞNELİ</t>
        </is>
      </c>
      <c r="X10" s="564" t="n"/>
      <c r="Y10" s="565" t="n"/>
      <c r="Z10" s="411">
        <f>D10+I10+N10+S10</f>
        <v/>
      </c>
      <c r="AA10" s="584" t="n"/>
      <c r="AB10" s="584" t="n"/>
      <c r="AC10" s="598" t="n"/>
    </row>
    <row r="11" ht="75" customHeight="1">
      <c r="A11" s="369" t="inlineStr">
        <is>
          <t>VİŞNELİ MEKİK BÜYÜK</t>
        </is>
      </c>
      <c r="B11" s="564" t="n"/>
      <c r="C11" s="565" t="n"/>
      <c r="D11" s="375" t="n"/>
      <c r="E11" s="598" t="n"/>
      <c r="F11" s="375" t="n"/>
      <c r="G11" s="598" t="n"/>
      <c r="H11" s="129" t="n"/>
      <c r="I11" s="368" t="n"/>
      <c r="J11" s="565" t="n"/>
      <c r="K11" s="368" t="n"/>
      <c r="L11" s="565" t="n"/>
      <c r="M11" s="129" t="n"/>
      <c r="N11" s="368" t="n"/>
      <c r="O11" s="565" t="n"/>
      <c r="P11" s="368" t="n"/>
      <c r="Q11" s="565" t="n"/>
      <c r="R11" s="130" t="n"/>
      <c r="S11" s="368" t="n"/>
      <c r="T11" s="565" t="n"/>
      <c r="U11" s="368" t="n"/>
      <c r="V11" s="565" t="n"/>
      <c r="W11" s="403" t="inlineStr">
        <is>
          <t>VİŞNELİ MEKİK BÜYÜK</t>
        </is>
      </c>
      <c r="X11" s="564" t="n"/>
      <c r="Y11" s="565" t="n"/>
      <c r="Z11" s="411">
        <f>D11+I11+N11+S11</f>
        <v/>
      </c>
      <c r="AA11" s="584" t="n"/>
      <c r="AB11" s="584" t="n"/>
      <c r="AC11" s="598" t="n"/>
    </row>
    <row r="12" ht="75" customHeight="1">
      <c r="A12" s="369" t="inlineStr">
        <is>
          <t>MİNİ  MEKİK</t>
        </is>
      </c>
      <c r="B12" s="564" t="n"/>
      <c r="C12" s="565" t="n"/>
      <c r="D12" s="375" t="n"/>
      <c r="E12" s="598" t="n"/>
      <c r="F12" s="375" t="n"/>
      <c r="G12" s="598" t="n"/>
      <c r="H12" s="129" t="n"/>
      <c r="I12" s="368" t="n"/>
      <c r="J12" s="565" t="n"/>
      <c r="K12" s="368" t="n"/>
      <c r="L12" s="565" t="n"/>
      <c r="M12" s="129" t="n"/>
      <c r="N12" s="368" t="n"/>
      <c r="O12" s="565" t="n"/>
      <c r="P12" s="368" t="n"/>
      <c r="Q12" s="565" t="n"/>
      <c r="R12" s="130" t="n"/>
      <c r="S12" s="368" t="n"/>
      <c r="T12" s="565" t="n"/>
      <c r="U12" s="368" t="n"/>
      <c r="V12" s="565" t="n"/>
      <c r="W12" s="403" t="inlineStr">
        <is>
          <t>MİNİ  MEKİK</t>
        </is>
      </c>
      <c r="X12" s="564" t="n"/>
      <c r="Y12" s="565" t="n"/>
      <c r="Z12" s="411">
        <f>D12+I12+N12+S12</f>
        <v/>
      </c>
      <c r="AA12" s="584" t="n"/>
      <c r="AB12" s="584" t="n"/>
      <c r="AC12" s="598" t="n"/>
    </row>
    <row r="13" ht="75" customHeight="1">
      <c r="A13" s="369" t="inlineStr">
        <is>
          <t>MİNİ BADEMLİ MEKİK</t>
        </is>
      </c>
      <c r="B13" s="564" t="n"/>
      <c r="C13" s="565" t="n"/>
      <c r="D13" s="375" t="n"/>
      <c r="E13" s="598" t="n"/>
      <c r="F13" s="375" t="n"/>
      <c r="G13" s="598" t="n"/>
      <c r="H13" s="129" t="n"/>
      <c r="I13" s="368" t="n"/>
      <c r="J13" s="565" t="n"/>
      <c r="K13" s="368" t="n"/>
      <c r="L13" s="565" t="n"/>
      <c r="M13" s="129" t="n"/>
      <c r="N13" s="368" t="n"/>
      <c r="O13" s="565" t="n"/>
      <c r="P13" s="368" t="n"/>
      <c r="Q13" s="565" t="n"/>
      <c r="R13" s="130" t="n"/>
      <c r="S13" s="368" t="n"/>
      <c r="T13" s="565" t="n"/>
      <c r="U13" s="368" t="n"/>
      <c r="V13" s="565" t="n"/>
      <c r="W13" s="403" t="inlineStr">
        <is>
          <t>MİNİ BADEMLİ MEKİK</t>
        </is>
      </c>
      <c r="X13" s="564" t="n"/>
      <c r="Y13" s="565" t="n"/>
      <c r="Z13" s="411">
        <f>D13+I13+N13+S13</f>
        <v/>
      </c>
      <c r="AA13" s="584" t="n"/>
      <c r="AB13" s="584" t="n"/>
      <c r="AC13" s="598" t="n"/>
    </row>
    <row r="14" ht="75" customHeight="1">
      <c r="A14" s="369" t="inlineStr">
        <is>
          <t>MANTAR</t>
        </is>
      </c>
      <c r="B14" s="564" t="n"/>
      <c r="C14" s="565" t="n"/>
      <c r="D14" s="375" t="n"/>
      <c r="E14" s="598" t="n"/>
      <c r="F14" s="375" t="n"/>
      <c r="G14" s="598" t="n"/>
      <c r="H14" s="129" t="n"/>
      <c r="I14" s="368" t="n"/>
      <c r="J14" s="565" t="n"/>
      <c r="K14" s="368" t="n"/>
      <c r="L14" s="565" t="n"/>
      <c r="M14" s="129" t="n"/>
      <c r="N14" s="368" t="n"/>
      <c r="O14" s="565" t="n"/>
      <c r="P14" s="368" t="n"/>
      <c r="Q14" s="565" t="n"/>
      <c r="R14" s="130" t="n"/>
      <c r="S14" s="368" t="n"/>
      <c r="T14" s="565" t="n"/>
      <c r="U14" s="368" t="n"/>
      <c r="V14" s="565" t="n"/>
      <c r="W14" s="403" t="inlineStr">
        <is>
          <t>MANTAR</t>
        </is>
      </c>
      <c r="X14" s="564" t="n"/>
      <c r="Y14" s="565" t="n"/>
      <c r="Z14" s="411">
        <f>D14+I14+N14+S14</f>
        <v/>
      </c>
      <c r="AA14" s="584" t="n"/>
      <c r="AB14" s="584" t="n"/>
      <c r="AC14" s="598" t="n"/>
    </row>
    <row r="15" ht="75" customHeight="1">
      <c r="A15" s="369" t="inlineStr">
        <is>
          <t>TARÇINLI PORTAKAL</t>
        </is>
      </c>
      <c r="B15" s="564" t="n"/>
      <c r="C15" s="565" t="n"/>
      <c r="D15" s="375" t="n"/>
      <c r="E15" s="598" t="n"/>
      <c r="F15" s="375" t="n"/>
      <c r="G15" s="598" t="n"/>
      <c r="H15" s="129" t="n"/>
      <c r="I15" s="368" t="n"/>
      <c r="J15" s="565" t="n"/>
      <c r="K15" s="368" t="n"/>
      <c r="L15" s="565" t="n"/>
      <c r="M15" s="129" t="n"/>
      <c r="N15" s="368" t="n"/>
      <c r="O15" s="565" t="n"/>
      <c r="P15" s="368" t="n"/>
      <c r="Q15" s="565" t="n"/>
      <c r="R15" s="130" t="n"/>
      <c r="S15" s="368" t="n"/>
      <c r="T15" s="565" t="n"/>
      <c r="U15" s="368" t="n"/>
      <c r="V15" s="565" t="n"/>
      <c r="W15" s="403" t="inlineStr">
        <is>
          <t>TARÇINLI PORTAKAL</t>
        </is>
      </c>
      <c r="X15" s="564" t="n"/>
      <c r="Y15" s="565" t="n"/>
      <c r="Z15" s="411">
        <f>D15+I15+N15+S15</f>
        <v/>
      </c>
      <c r="AA15" s="584" t="n"/>
      <c r="AB15" s="584" t="n"/>
      <c r="AC15" s="598" t="n"/>
    </row>
    <row r="16" ht="62" customHeight="1">
      <c r="A16" s="369" t="inlineStr">
        <is>
          <t>KESTANELİ MARİNGEDEZE</t>
        </is>
      </c>
      <c r="B16" s="564" t="n"/>
      <c r="C16" s="565" t="n"/>
      <c r="D16" s="556" t="n"/>
      <c r="E16" s="565" t="n"/>
      <c r="F16" s="557" t="n"/>
      <c r="G16" s="565" t="n"/>
      <c r="H16" s="129" t="n"/>
      <c r="I16" s="556" t="n"/>
      <c r="J16" s="565" t="n"/>
      <c r="K16" s="556" t="n"/>
      <c r="L16" s="565" t="n"/>
      <c r="M16" s="129" t="n"/>
      <c r="N16" s="556" t="n"/>
      <c r="O16" s="565" t="n"/>
      <c r="P16" s="556" t="n"/>
      <c r="Q16" s="565" t="n"/>
      <c r="R16" s="130" t="n"/>
      <c r="S16" s="556" t="n"/>
      <c r="T16" s="565" t="n"/>
      <c r="U16" s="556" t="n"/>
      <c r="V16" s="565" t="n"/>
      <c r="W16" s="403" t="inlineStr">
        <is>
          <t>KESTANELİ MARİNGEDEZE</t>
        </is>
      </c>
      <c r="X16" s="564" t="n"/>
      <c r="Y16" s="565" t="n"/>
      <c r="Z16" s="413">
        <f>G16+I16+K16+M16+O16+Q16+S16+U16</f>
        <v/>
      </c>
      <c r="AA16" s="564" t="n"/>
      <c r="AB16" s="564" t="n"/>
      <c r="AC16" s="565" t="n"/>
    </row>
    <row r="17" ht="75" customHeight="1">
      <c r="A17" s="369" t="inlineStr">
        <is>
          <t>SABLE BADEMLİ (SADE)</t>
        </is>
      </c>
      <c r="B17" s="564" t="n"/>
      <c r="C17" s="565" t="n"/>
      <c r="D17" s="368" t="n"/>
      <c r="E17" s="565" t="n"/>
      <c r="F17" s="368" t="n"/>
      <c r="G17" s="565" t="n"/>
      <c r="H17" s="129" t="n"/>
      <c r="I17" s="368" t="n"/>
      <c r="J17" s="565" t="n"/>
      <c r="K17" s="368" t="n"/>
      <c r="L17" s="565" t="n"/>
      <c r="M17" s="129" t="n"/>
      <c r="N17" s="368" t="n"/>
      <c r="O17" s="565" t="n"/>
      <c r="P17" s="368" t="n"/>
      <c r="Q17" s="565" t="n"/>
      <c r="R17" s="130" t="n"/>
      <c r="S17" s="368" t="n"/>
      <c r="T17" s="565" t="n"/>
      <c r="U17" s="368" t="n"/>
      <c r="V17" s="565" t="n"/>
      <c r="W17" s="403" t="inlineStr">
        <is>
          <t>SABLE BADEMLİ (SADE)</t>
        </is>
      </c>
      <c r="X17" s="564" t="n"/>
      <c r="Y17" s="565" t="n"/>
      <c r="Z17" s="411">
        <f>D17+I17+N17+S17</f>
        <v/>
      </c>
      <c r="AA17" s="584" t="n"/>
      <c r="AB17" s="584" t="n"/>
      <c r="AC17" s="598" t="n"/>
    </row>
    <row r="18" ht="75" customHeight="1">
      <c r="A18" s="369" t="inlineStr">
        <is>
          <t>SABLE BADEMLİ(KAKAOLU)</t>
        </is>
      </c>
      <c r="B18" s="564" t="n"/>
      <c r="C18" s="565" t="n"/>
      <c r="D18" s="368" t="n"/>
      <c r="E18" s="565" t="n"/>
      <c r="F18" s="368" t="n"/>
      <c r="G18" s="565" t="n"/>
      <c r="H18" s="129" t="n"/>
      <c r="I18" s="368" t="n"/>
      <c r="J18" s="565" t="n"/>
      <c r="K18" s="368" t="n"/>
      <c r="L18" s="565" t="n"/>
      <c r="M18" s="129" t="n"/>
      <c r="N18" s="368" t="n"/>
      <c r="O18" s="565" t="n"/>
      <c r="P18" s="368" t="n"/>
      <c r="Q18" s="565" t="n"/>
      <c r="R18" s="130" t="n"/>
      <c r="S18" s="368" t="n"/>
      <c r="T18" s="565" t="n"/>
      <c r="U18" s="368" t="n"/>
      <c r="V18" s="565" t="n"/>
      <c r="W18" s="403" t="inlineStr">
        <is>
          <t>SABLE BADEMLİ(KAKAOLU)</t>
        </is>
      </c>
      <c r="X18" s="564" t="n"/>
      <c r="Y18" s="565" t="n"/>
      <c r="Z18" s="411">
        <f>D18+I18+N18+S18</f>
        <v/>
      </c>
      <c r="AA18" s="584" t="n"/>
      <c r="AB18" s="584" t="n"/>
      <c r="AC18" s="598" t="n"/>
    </row>
    <row r="19" ht="75" customHeight="1">
      <c r="A19" s="369" t="inlineStr">
        <is>
          <t>KAVALA KURABİYESİ</t>
        </is>
      </c>
      <c r="B19" s="564" t="n"/>
      <c r="C19" s="565" t="n"/>
      <c r="D19" s="368" t="n"/>
      <c r="E19" s="565" t="n"/>
      <c r="F19" s="368" t="n"/>
      <c r="G19" s="565" t="n"/>
      <c r="H19" s="129" t="n"/>
      <c r="I19" s="368" t="n"/>
      <c r="J19" s="565" t="n"/>
      <c r="K19" s="368" t="n"/>
      <c r="L19" s="565" t="n"/>
      <c r="M19" s="129" t="n"/>
      <c r="N19" s="368" t="n"/>
      <c r="O19" s="565" t="n"/>
      <c r="P19" s="368" t="n"/>
      <c r="Q19" s="565" t="n"/>
      <c r="R19" s="130" t="n"/>
      <c r="S19" s="368" t="n"/>
      <c r="T19" s="565" t="n"/>
      <c r="U19" s="368" t="n"/>
      <c r="V19" s="565" t="n"/>
      <c r="W19" s="403" t="inlineStr">
        <is>
          <t>KAVALA KURABİYESİ</t>
        </is>
      </c>
      <c r="X19" s="564" t="n"/>
      <c r="Y19" s="565" t="n"/>
      <c r="Z19" s="411">
        <f>D19+I19+N19+S19</f>
        <v/>
      </c>
      <c r="AA19" s="584" t="n"/>
      <c r="AB19" s="584" t="n"/>
      <c r="AC19" s="598" t="n"/>
    </row>
    <row r="20" ht="75" customHeight="1">
      <c r="A20" s="369" t="inlineStr">
        <is>
          <t>KUKUNARİ SİYAH</t>
        </is>
      </c>
      <c r="B20" s="564" t="n"/>
      <c r="C20" s="565" t="n"/>
      <c r="D20" s="368" t="n"/>
      <c r="E20" s="565" t="n"/>
      <c r="F20" s="368" t="n"/>
      <c r="G20" s="565" t="n"/>
      <c r="H20" s="129" t="n"/>
      <c r="I20" s="368" t="n"/>
      <c r="J20" s="565" t="n"/>
      <c r="K20" s="368" t="n"/>
      <c r="L20" s="565" t="n"/>
      <c r="M20" s="129" t="n"/>
      <c r="N20" s="368" t="n"/>
      <c r="O20" s="565" t="n"/>
      <c r="P20" s="368" t="n"/>
      <c r="Q20" s="565" t="n"/>
      <c r="R20" s="130" t="n"/>
      <c r="S20" s="368" t="n"/>
      <c r="T20" s="565" t="n"/>
      <c r="U20" s="368" t="n"/>
      <c r="V20" s="565" t="n"/>
      <c r="W20" s="403" t="inlineStr">
        <is>
          <t>KUKUNARİ SİYAH</t>
        </is>
      </c>
      <c r="X20" s="564" t="n"/>
      <c r="Y20" s="565" t="n"/>
      <c r="Z20" s="411">
        <f>D20+I20+N20+S20</f>
        <v/>
      </c>
      <c r="AA20" s="584" t="n"/>
      <c r="AB20" s="584" t="n"/>
      <c r="AC20" s="598" t="n"/>
    </row>
    <row r="21" ht="75" customHeight="1">
      <c r="A21" s="369" t="inlineStr">
        <is>
          <t>KUKİNARİ BEYAZ</t>
        </is>
      </c>
      <c r="B21" s="564" t="n"/>
      <c r="C21" s="565" t="n"/>
      <c r="D21" s="368" t="n"/>
      <c r="E21" s="565" t="n"/>
      <c r="F21" s="368" t="n"/>
      <c r="G21" s="565" t="n"/>
      <c r="H21" s="129" t="n"/>
      <c r="I21" s="368" t="n"/>
      <c r="J21" s="565" t="n"/>
      <c r="K21" s="368" t="n"/>
      <c r="L21" s="565" t="n"/>
      <c r="M21" s="129" t="n"/>
      <c r="N21" s="368" t="n"/>
      <c r="O21" s="565" t="n"/>
      <c r="P21" s="368" t="n"/>
      <c r="Q21" s="565" t="n"/>
      <c r="R21" s="130" t="n"/>
      <c r="S21" s="368" t="n"/>
      <c r="T21" s="565" t="n"/>
      <c r="U21" s="368" t="n"/>
      <c r="V21" s="565" t="n"/>
      <c r="W21" s="403" t="inlineStr">
        <is>
          <t>KUKİNARİ BEYAZ</t>
        </is>
      </c>
      <c r="X21" s="564" t="n"/>
      <c r="Y21" s="565" t="n"/>
      <c r="Z21" s="411">
        <f>D21+I21+N21+S21</f>
        <v/>
      </c>
      <c r="AA21" s="584" t="n"/>
      <c r="AB21" s="584" t="n"/>
      <c r="AC21" s="598" t="n"/>
    </row>
    <row r="22" ht="75" customHeight="1">
      <c r="A22" s="369" t="inlineStr">
        <is>
          <t>HİNDİSTAN CEVİZLİ TOP</t>
        </is>
      </c>
      <c r="B22" s="564" t="n"/>
      <c r="C22" s="565" t="n"/>
      <c r="D22" s="368" t="n"/>
      <c r="E22" s="565" t="n"/>
      <c r="F22" s="368" t="n"/>
      <c r="G22" s="565" t="n"/>
      <c r="H22" s="129" t="n"/>
      <c r="I22" s="368" t="n"/>
      <c r="J22" s="565" t="n"/>
      <c r="K22" s="368" t="n"/>
      <c r="L22" s="565" t="n"/>
      <c r="M22" s="129" t="n"/>
      <c r="N22" s="368" t="n"/>
      <c r="O22" s="565" t="n"/>
      <c r="P22" s="368" t="n"/>
      <c r="Q22" s="565" t="n"/>
      <c r="R22" s="130" t="n"/>
      <c r="S22" s="368" t="n"/>
      <c r="T22" s="565" t="n"/>
      <c r="U22" s="368" t="n"/>
      <c r="V22" s="565" t="n"/>
      <c r="W22" s="403" t="inlineStr">
        <is>
          <t>HİNDİSTAN CEVİZLİ TOP</t>
        </is>
      </c>
      <c r="X22" s="564" t="n"/>
      <c r="Y22" s="565" t="n"/>
      <c r="Z22" s="411">
        <f>D22+I22+N22+S22</f>
        <v/>
      </c>
      <c r="AA22" s="584" t="n"/>
      <c r="AB22" s="584" t="n"/>
      <c r="AC22" s="598" t="n"/>
    </row>
    <row r="23" ht="75" customHeight="1">
      <c r="A23" s="369" t="inlineStr">
        <is>
          <t>FISTIKLI TOP</t>
        </is>
      </c>
      <c r="B23" s="564" t="n"/>
      <c r="C23" s="565" t="n"/>
      <c r="D23" s="368" t="n"/>
      <c r="E23" s="565" t="n"/>
      <c r="F23" s="368" t="n"/>
      <c r="G23" s="565" t="n"/>
      <c r="H23" s="129" t="n"/>
      <c r="I23" s="368" t="n"/>
      <c r="J23" s="565" t="n"/>
      <c r="K23" s="368" t="n"/>
      <c r="L23" s="565" t="n"/>
      <c r="M23" s="129" t="n"/>
      <c r="N23" s="368" t="n"/>
      <c r="O23" s="565" t="n"/>
      <c r="P23" s="368" t="n"/>
      <c r="Q23" s="565" t="n"/>
      <c r="R23" s="130" t="n"/>
      <c r="S23" s="368" t="n"/>
      <c r="T23" s="565" t="n"/>
      <c r="U23" s="368" t="n"/>
      <c r="V23" s="565" t="n"/>
      <c r="W23" s="403" t="inlineStr">
        <is>
          <t>FISTIKLI TOP</t>
        </is>
      </c>
      <c r="X23" s="564" t="n"/>
      <c r="Y23" s="565" t="n"/>
      <c r="Z23" s="411">
        <f>D23+I23+N23+S23</f>
        <v/>
      </c>
      <c r="AA23" s="584" t="n"/>
      <c r="AB23" s="584" t="n"/>
      <c r="AC23" s="598" t="n"/>
    </row>
    <row r="24" ht="75" customHeight="1">
      <c r="A24" s="369" t="inlineStr">
        <is>
          <t>PİRİNÇ FINDIKLI TOP</t>
        </is>
      </c>
      <c r="B24" s="564" t="n"/>
      <c r="C24" s="565" t="n"/>
      <c r="D24" s="368" t="n"/>
      <c r="E24" s="565" t="n"/>
      <c r="F24" s="368" t="n"/>
      <c r="G24" s="565" t="n"/>
      <c r="H24" s="129" t="n"/>
      <c r="I24" s="368" t="n"/>
      <c r="J24" s="565" t="n"/>
      <c r="K24" s="368" t="n"/>
      <c r="L24" s="565" t="n"/>
      <c r="M24" s="129" t="n"/>
      <c r="N24" s="368" t="n"/>
      <c r="O24" s="565" t="n"/>
      <c r="P24" s="368" t="n"/>
      <c r="Q24" s="565" t="n"/>
      <c r="R24" s="130" t="n"/>
      <c r="S24" s="368" t="n"/>
      <c r="T24" s="565" t="n"/>
      <c r="U24" s="368" t="n"/>
      <c r="V24" s="565" t="n"/>
      <c r="W24" s="403" t="inlineStr">
        <is>
          <t>PİRİNÇ FINDIKLI TOP</t>
        </is>
      </c>
      <c r="X24" s="564" t="n"/>
      <c r="Y24" s="565" t="n"/>
      <c r="Z24" s="411">
        <f>D24+I24+N24+S24</f>
        <v/>
      </c>
      <c r="AA24" s="584" t="n"/>
      <c r="AB24" s="584" t="n"/>
      <c r="AC24" s="598" t="n"/>
    </row>
    <row r="25" ht="75" customHeight="1">
      <c r="A25" s="369" t="inlineStr">
        <is>
          <t>BİREÇEL BEYAZ</t>
        </is>
      </c>
      <c r="B25" s="564" t="n"/>
      <c r="C25" s="565" t="n"/>
      <c r="D25" s="368" t="n"/>
      <c r="E25" s="565" t="n"/>
      <c r="F25" s="368" t="n"/>
      <c r="G25" s="565" t="n"/>
      <c r="H25" s="129" t="n"/>
      <c r="I25" s="368" t="n"/>
      <c r="J25" s="565" t="n"/>
      <c r="K25" s="368" t="n"/>
      <c r="L25" s="565" t="n"/>
      <c r="M25" s="129" t="n"/>
      <c r="N25" s="368" t="n"/>
      <c r="O25" s="565" t="n"/>
      <c r="P25" s="368" t="n"/>
      <c r="Q25" s="565" t="n"/>
      <c r="R25" s="130" t="n"/>
      <c r="S25" s="368" t="n"/>
      <c r="T25" s="565" t="n"/>
      <c r="U25" s="368" t="n"/>
      <c r="V25" s="565" t="n"/>
      <c r="W25" s="403" t="inlineStr">
        <is>
          <t>BİREÇEL BEYAZ</t>
        </is>
      </c>
      <c r="X25" s="564" t="n"/>
      <c r="Y25" s="565" t="n"/>
      <c r="Z25" s="411">
        <f>D25+I25+N25+S25</f>
        <v/>
      </c>
      <c r="AA25" s="584" t="n"/>
      <c r="AB25" s="584" t="n"/>
      <c r="AC25" s="598" t="n"/>
    </row>
    <row r="26" ht="75" customHeight="1">
      <c r="A26" s="369" t="inlineStr">
        <is>
          <t>BİREÇEL SİYAH</t>
        </is>
      </c>
      <c r="B26" s="564" t="n"/>
      <c r="C26" s="565" t="n"/>
      <c r="D26" s="368" t="n"/>
      <c r="E26" s="565" t="n"/>
      <c r="F26" s="368" t="n"/>
      <c r="G26" s="565" t="n"/>
      <c r="H26" s="129" t="n"/>
      <c r="I26" s="368" t="n"/>
      <c r="J26" s="565" t="n"/>
      <c r="K26" s="368" t="n"/>
      <c r="L26" s="565" t="n"/>
      <c r="M26" s="129" t="n"/>
      <c r="N26" s="368" t="n"/>
      <c r="O26" s="565" t="n"/>
      <c r="P26" s="368" t="n"/>
      <c r="Q26" s="565" t="n"/>
      <c r="R26" s="130" t="n"/>
      <c r="S26" s="368" t="n"/>
      <c r="T26" s="565" t="n"/>
      <c r="U26" s="368" t="n"/>
      <c r="V26" s="565" t="n"/>
      <c r="W26" s="403" t="inlineStr">
        <is>
          <t>BİREÇEL SİYAH</t>
        </is>
      </c>
      <c r="X26" s="564" t="n"/>
      <c r="Y26" s="565" t="n"/>
      <c r="Z26" s="411">
        <f>D26+I26+N26+S26</f>
        <v/>
      </c>
      <c r="AA26" s="584" t="n"/>
      <c r="AB26" s="584" t="n"/>
      <c r="AC26" s="598" t="n"/>
    </row>
    <row r="27" ht="75" customHeight="1">
      <c r="A27" s="379" t="inlineStr">
        <is>
          <t>FINDIKLI BİSCOTTİ</t>
        </is>
      </c>
      <c r="B27" s="567" t="n"/>
      <c r="C27" s="568" t="n"/>
      <c r="D27" s="380" t="n"/>
      <c r="E27" s="568" t="n"/>
      <c r="F27" s="380" t="n"/>
      <c r="G27" s="568" t="n"/>
      <c r="H27" s="129" t="n"/>
      <c r="I27" s="368" t="n"/>
      <c r="J27" s="565" t="n"/>
      <c r="K27" s="368" t="n"/>
      <c r="L27" s="565" t="n"/>
      <c r="M27" s="129" t="n"/>
      <c r="N27" s="368" t="n"/>
      <c r="O27" s="565" t="n"/>
      <c r="P27" s="368" t="n"/>
      <c r="Q27" s="565" t="n"/>
      <c r="R27" s="130" t="n"/>
      <c r="S27" s="368" t="n"/>
      <c r="T27" s="565" t="n"/>
      <c r="U27" s="368" t="n"/>
      <c r="V27" s="565" t="n"/>
      <c r="W27" s="403" t="inlineStr">
        <is>
          <t>FINDIKLI BİSCOTTİ</t>
        </is>
      </c>
      <c r="X27" s="564" t="n"/>
      <c r="Y27" s="565" t="n"/>
      <c r="Z27" s="411">
        <f>D27+I27+N27+S27</f>
        <v/>
      </c>
      <c r="AA27" s="584" t="n"/>
      <c r="AB27" s="584" t="n"/>
      <c r="AC27" s="598" t="n"/>
    </row>
    <row r="28" ht="13" customHeight="1">
      <c r="A28" s="95" t="n"/>
      <c r="B28" s="96" t="n"/>
      <c r="C28" s="96" t="n"/>
      <c r="D28" s="131" t="n"/>
      <c r="E28" s="131" t="n"/>
      <c r="F28" s="131" t="n"/>
      <c r="G28" s="132" t="n"/>
      <c r="H28" s="129" t="n"/>
      <c r="I28" s="133" t="n"/>
      <c r="J28" s="133" t="n"/>
      <c r="K28" s="133" t="n"/>
      <c r="L28" s="133" t="n"/>
      <c r="M28" s="129" t="n"/>
      <c r="N28" s="133" t="n"/>
      <c r="O28" s="133" t="n"/>
      <c r="P28" s="133" t="n"/>
      <c r="Q28" s="133" t="n"/>
      <c r="R28" s="130" t="n"/>
      <c r="S28" s="134" t="n"/>
      <c r="T28" s="134" t="n"/>
      <c r="U28" s="134" t="n"/>
      <c r="V28" s="134" t="n"/>
      <c r="W28" s="14" t="n"/>
      <c r="X28" s="14" t="n"/>
      <c r="Y28" s="14" t="n"/>
      <c r="Z28" s="14" t="n"/>
      <c r="AA28" s="14" t="n"/>
      <c r="AB28" s="15" t="n"/>
      <c r="AC28" s="16" t="n"/>
    </row>
    <row r="29" ht="75" customHeight="1">
      <c r="A29" s="381" t="inlineStr">
        <is>
          <t>KAHVELİ BAR</t>
        </is>
      </c>
      <c r="B29" s="584" t="n"/>
      <c r="C29" s="598" t="n"/>
      <c r="D29" s="382" t="n"/>
      <c r="E29" s="598" t="n"/>
      <c r="F29" s="382" t="n"/>
      <c r="G29" s="598" t="n"/>
      <c r="H29" s="129" t="n"/>
      <c r="I29" s="368" t="n"/>
      <c r="J29" s="565" t="n"/>
      <c r="K29" s="368" t="n"/>
      <c r="L29" s="565" t="n"/>
      <c r="M29" s="129" t="n"/>
      <c r="N29" s="368" t="n"/>
      <c r="O29" s="565" t="n"/>
      <c r="P29" s="368" t="n"/>
      <c r="Q29" s="565" t="n"/>
      <c r="R29" s="130" t="n"/>
      <c r="S29" s="368" t="n"/>
      <c r="T29" s="565" t="n"/>
      <c r="U29" s="368" t="n"/>
      <c r="V29" s="565" t="n"/>
      <c r="W29" s="403" t="inlineStr">
        <is>
          <t>KAHVELİ BAR</t>
        </is>
      </c>
      <c r="X29" s="564" t="n"/>
      <c r="Y29" s="565" t="n"/>
      <c r="Z29" s="411">
        <f>D29+I29+N29+S29</f>
        <v/>
      </c>
      <c r="AA29" s="584" t="n"/>
      <c r="AB29" s="584" t="n"/>
      <c r="AC29" s="598" t="n"/>
    </row>
    <row r="30" ht="75" customHeight="1">
      <c r="A30" s="369" t="inlineStr">
        <is>
          <t>LİMONLU BAR</t>
        </is>
      </c>
      <c r="B30" s="564" t="n"/>
      <c r="C30" s="565" t="n"/>
      <c r="D30" s="382" t="n"/>
      <c r="E30" s="598" t="n"/>
      <c r="F30" s="382" t="n"/>
      <c r="G30" s="598" t="n"/>
      <c r="H30" s="129" t="n"/>
      <c r="I30" s="368" t="n"/>
      <c r="J30" s="565" t="n"/>
      <c r="K30" s="368" t="n"/>
      <c r="L30" s="565" t="n"/>
      <c r="M30" s="129" t="n"/>
      <c r="N30" s="368" t="n"/>
      <c r="O30" s="565" t="n"/>
      <c r="P30" s="368" t="n"/>
      <c r="Q30" s="565" t="n"/>
      <c r="R30" s="130" t="n"/>
      <c r="S30" s="368" t="n"/>
      <c r="T30" s="565" t="n"/>
      <c r="U30" s="368" t="n"/>
      <c r="V30" s="565" t="n"/>
      <c r="W30" s="403" t="inlineStr">
        <is>
          <t>LİMONLU BAR</t>
        </is>
      </c>
      <c r="X30" s="564" t="n"/>
      <c r="Y30" s="565" t="n"/>
      <c r="Z30" s="411">
        <f>D30+I30+N30+S30</f>
        <v/>
      </c>
      <c r="AA30" s="584" t="n"/>
      <c r="AB30" s="584" t="n"/>
      <c r="AC30" s="598" t="n"/>
    </row>
    <row r="31" ht="75" customHeight="1">
      <c r="A31" s="369" t="inlineStr">
        <is>
          <t>VİŞNELİ BAR</t>
        </is>
      </c>
      <c r="B31" s="564" t="n"/>
      <c r="C31" s="565" t="n"/>
      <c r="D31" s="382" t="n"/>
      <c r="E31" s="598" t="n"/>
      <c r="F31" s="382" t="n"/>
      <c r="G31" s="598" t="n"/>
      <c r="H31" s="129" t="n"/>
      <c r="I31" s="368" t="n"/>
      <c r="J31" s="565" t="n"/>
      <c r="K31" s="368" t="n"/>
      <c r="L31" s="565" t="n"/>
      <c r="M31" s="129" t="n"/>
      <c r="N31" s="368" t="n"/>
      <c r="O31" s="565" t="n"/>
      <c r="P31" s="368" t="n"/>
      <c r="Q31" s="565" t="n"/>
      <c r="R31" s="130" t="n"/>
      <c r="S31" s="368" t="n"/>
      <c r="T31" s="565" t="n"/>
      <c r="U31" s="368" t="n"/>
      <c r="V31" s="565" t="n"/>
      <c r="W31" s="403" t="inlineStr">
        <is>
          <t>VİŞNELİ BAR</t>
        </is>
      </c>
      <c r="X31" s="564" t="n"/>
      <c r="Y31" s="565" t="n"/>
      <c r="Z31" s="411">
        <f>D31+I31+N31+S31</f>
        <v/>
      </c>
      <c r="AA31" s="584" t="n"/>
      <c r="AB31" s="584" t="n"/>
      <c r="AC31" s="598" t="n"/>
    </row>
    <row r="32" ht="75" customHeight="1">
      <c r="A32" s="369" t="inlineStr">
        <is>
          <t>KAKAOLU BROWNİ</t>
        </is>
      </c>
      <c r="B32" s="564" t="n"/>
      <c r="C32" s="565" t="n"/>
      <c r="D32" s="382" t="n"/>
      <c r="E32" s="598" t="n"/>
      <c r="F32" s="382" t="n"/>
      <c r="G32" s="598" t="n"/>
      <c r="H32" s="129" t="n"/>
      <c r="I32" s="368" t="n"/>
      <c r="J32" s="565" t="n"/>
      <c r="K32" s="368" t="n"/>
      <c r="L32" s="565" t="n"/>
      <c r="M32" s="129" t="n"/>
      <c r="N32" s="368" t="n"/>
      <c r="O32" s="565" t="n"/>
      <c r="P32" s="368" t="n"/>
      <c r="Q32" s="565" t="n"/>
      <c r="R32" s="130" t="n"/>
      <c r="S32" s="368" t="n"/>
      <c r="T32" s="565" t="n"/>
      <c r="U32" s="368" t="n"/>
      <c r="V32" s="565" t="n"/>
      <c r="W32" s="403" t="inlineStr">
        <is>
          <t>KAKAOLU BROWNİ</t>
        </is>
      </c>
      <c r="X32" s="564" t="n"/>
      <c r="Y32" s="565" t="n"/>
      <c r="Z32" s="411">
        <f>D32+I32+N32+S32</f>
        <v/>
      </c>
      <c r="AA32" s="584" t="n"/>
      <c r="AB32" s="584" t="n"/>
      <c r="AC32" s="598" t="n"/>
    </row>
    <row r="33" ht="75" customHeight="1">
      <c r="A33" s="369" t="inlineStr">
        <is>
          <t>FRAMBUAZLI BROWNİ</t>
        </is>
      </c>
      <c r="B33" s="564" t="n"/>
      <c r="C33" s="565" t="n"/>
      <c r="D33" s="382" t="n"/>
      <c r="E33" s="598" t="n"/>
      <c r="F33" s="382" t="n"/>
      <c r="G33" s="598" t="n"/>
      <c r="H33" s="129" t="n"/>
      <c r="I33" s="368" t="n"/>
      <c r="J33" s="565" t="n"/>
      <c r="K33" s="368" t="n"/>
      <c r="L33" s="565" t="n"/>
      <c r="M33" s="129" t="n"/>
      <c r="N33" s="368" t="n"/>
      <c r="O33" s="565" t="n"/>
      <c r="P33" s="368" t="n"/>
      <c r="Q33" s="565" t="n"/>
      <c r="R33" s="130" t="n"/>
      <c r="S33" s="368" t="n"/>
      <c r="T33" s="565" t="n"/>
      <c r="U33" s="368" t="n"/>
      <c r="V33" s="565" t="n"/>
      <c r="W33" s="403" t="inlineStr">
        <is>
          <t>FRAMBUAZLI BROWNİ</t>
        </is>
      </c>
      <c r="X33" s="564" t="n"/>
      <c r="Y33" s="565" t="n"/>
      <c r="Z33" s="411">
        <f>D33+I33+N33+S33</f>
        <v/>
      </c>
      <c r="AA33" s="584" t="n"/>
      <c r="AB33" s="584" t="n"/>
      <c r="AC33" s="598" t="n"/>
    </row>
    <row r="34" ht="75" customHeight="1">
      <c r="A34" s="369" t="inlineStr">
        <is>
          <t>KARAMELLİ YILDIZ KURABİYE</t>
        </is>
      </c>
      <c r="B34" s="564" t="n"/>
      <c r="C34" s="565" t="n"/>
      <c r="D34" s="382" t="n"/>
      <c r="E34" s="598" t="n"/>
      <c r="F34" s="382" t="n"/>
      <c r="G34" s="598" t="n"/>
      <c r="H34" s="129" t="n"/>
      <c r="I34" s="368" t="n"/>
      <c r="J34" s="565" t="n"/>
      <c r="K34" s="368" t="n"/>
      <c r="L34" s="565" t="n"/>
      <c r="M34" s="129" t="n"/>
      <c r="N34" s="368" t="n"/>
      <c r="O34" s="565" t="n"/>
      <c r="P34" s="368" t="n"/>
      <c r="Q34" s="565" t="n"/>
      <c r="R34" s="130" t="n"/>
      <c r="S34" s="368" t="n"/>
      <c r="T34" s="565" t="n"/>
      <c r="U34" s="368" t="n"/>
      <c r="V34" s="565" t="n"/>
      <c r="W34" s="403" t="inlineStr">
        <is>
          <t>KARAMELLİ YILDIZ KURABİYE</t>
        </is>
      </c>
      <c r="X34" s="564" t="n"/>
      <c r="Y34" s="565" t="n"/>
      <c r="Z34" s="411">
        <f>D34+I34+N34+S34</f>
        <v/>
      </c>
      <c r="AA34" s="584" t="n"/>
      <c r="AB34" s="584" t="n"/>
      <c r="AC34" s="598" t="n"/>
    </row>
    <row r="35" ht="75" customHeight="1" thickBot="1">
      <c r="A35" s="369" t="inlineStr">
        <is>
          <t>ŞEKİLLİ KURABİYE</t>
        </is>
      </c>
      <c r="B35" s="564" t="n"/>
      <c r="C35" s="565" t="n"/>
      <c r="D35" s="382" t="n"/>
      <c r="E35" s="598" t="n"/>
      <c r="F35" s="382" t="n"/>
      <c r="G35" s="598" t="n"/>
      <c r="H35" s="129" t="n"/>
      <c r="I35" s="368" t="n"/>
      <c r="J35" s="565" t="n"/>
      <c r="K35" s="368" t="n"/>
      <c r="L35" s="565" t="n"/>
      <c r="M35" s="129" t="n"/>
      <c r="N35" s="368" t="n"/>
      <c r="O35" s="565" t="n"/>
      <c r="P35" s="368" t="n"/>
      <c r="Q35" s="565" t="n"/>
      <c r="R35" s="130" t="n"/>
      <c r="S35" s="368" t="n"/>
      <c r="T35" s="565" t="n"/>
      <c r="U35" s="368" t="n"/>
      <c r="V35" s="565" t="n"/>
      <c r="W35" s="403" t="inlineStr">
        <is>
          <t>ŞEKİLLİ KURABİYE</t>
        </is>
      </c>
      <c r="X35" s="564" t="n"/>
      <c r="Y35" s="565" t="n"/>
      <c r="Z35" s="411">
        <f>D34+I34+N34+S34</f>
        <v/>
      </c>
      <c r="AA35" s="584" t="n"/>
      <c r="AB35" s="584" t="n"/>
      <c r="AC35" s="598" t="n"/>
    </row>
    <row r="36" ht="70" customHeight="1" thickBot="1">
      <c r="A36" s="95" t="n"/>
      <c r="B36" s="96" t="n"/>
      <c r="C36" s="96" t="n"/>
      <c r="D36" s="386" t="inlineStr">
        <is>
          <t>Nişantaşı</t>
        </is>
      </c>
      <c r="E36" s="589" t="n"/>
      <c r="F36" s="599" t="n"/>
      <c r="G36" s="591" t="n"/>
      <c r="H36" s="129" t="n"/>
      <c r="I36" s="600" t="inlineStr">
        <is>
          <t>Fulya</t>
        </is>
      </c>
      <c r="J36" s="591" t="n"/>
      <c r="K36" s="600" t="n"/>
      <c r="L36" s="591" t="n"/>
      <c r="M36" s="129" t="n"/>
      <c r="N36" s="601" t="inlineStr">
        <is>
          <t>Maslak</t>
        </is>
      </c>
      <c r="O36" s="591" t="n"/>
      <c r="P36" s="358" t="n"/>
      <c r="Q36" s="589" t="n"/>
      <c r="R36" s="130" t="n"/>
      <c r="S36" s="602" t="inlineStr">
        <is>
          <t>K.burnu</t>
        </is>
      </c>
      <c r="T36" s="591" t="n"/>
      <c r="U36" s="602" t="n"/>
      <c r="V36" s="591" t="n"/>
      <c r="W36" s="603" t="inlineStr">
        <is>
          <t>TATLI KURABİYELER</t>
        </is>
      </c>
      <c r="X36" s="596" t="n"/>
      <c r="Y36" s="591" t="n"/>
      <c r="Z36" s="604" t="inlineStr">
        <is>
          <t>TOPLAM ADET</t>
        </is>
      </c>
      <c r="AA36" s="596" t="n"/>
      <c r="AB36" s="596" t="n"/>
      <c r="AC36" s="591" t="n"/>
    </row>
    <row r="37" ht="70" customHeight="1">
      <c r="A37" s="369" t="inlineStr">
        <is>
          <t>ELMALI KURABİYE</t>
        </is>
      </c>
      <c r="B37" s="564" t="n"/>
      <c r="C37" s="565" t="n"/>
      <c r="D37" s="385" t="n">
        <v>0.5</v>
      </c>
      <c r="E37" s="565" t="n"/>
      <c r="F37" s="385" t="n"/>
      <c r="G37" s="565" t="n"/>
      <c r="H37" s="129" t="n"/>
      <c r="I37" s="368" t="n"/>
      <c r="J37" s="565" t="n"/>
      <c r="K37" s="368" t="n"/>
      <c r="L37" s="565" t="n"/>
      <c r="M37" s="129" t="n"/>
      <c r="N37" s="368" t="n"/>
      <c r="O37" s="565" t="n"/>
      <c r="P37" s="368" t="n"/>
      <c r="Q37" s="565" t="n"/>
      <c r="R37" s="130" t="n"/>
      <c r="S37" s="368" t="n"/>
      <c r="T37" s="565" t="n"/>
      <c r="U37" s="368" t="n"/>
      <c r="V37" s="565" t="n"/>
      <c r="W37" s="403" t="inlineStr">
        <is>
          <t>ELMALI KURABİYE</t>
        </is>
      </c>
      <c r="X37" s="564" t="n"/>
      <c r="Y37" s="565" t="n"/>
      <c r="Z37" s="413">
        <f>D37+I37+N37+S37</f>
        <v/>
      </c>
      <c r="AA37" s="564" t="n"/>
      <c r="AB37" s="564" t="n"/>
      <c r="AC37" s="565" t="n"/>
    </row>
    <row r="38" ht="70" customHeight="1">
      <c r="A38" s="369" t="inlineStr">
        <is>
          <t>VİŞNELİ KURABİYE</t>
        </is>
      </c>
      <c r="B38" s="564" t="n"/>
      <c r="C38" s="565" t="n"/>
      <c r="D38" s="385" t="n"/>
      <c r="E38" s="565" t="n"/>
      <c r="F38" s="385" t="n"/>
      <c r="G38" s="565" t="n"/>
      <c r="H38" s="129" t="n"/>
      <c r="I38" s="368" t="n"/>
      <c r="J38" s="565" t="n"/>
      <c r="K38" s="368" t="n"/>
      <c r="L38" s="565" t="n"/>
      <c r="M38" s="129" t="n"/>
      <c r="N38" s="368" t="n"/>
      <c r="O38" s="565" t="n"/>
      <c r="P38" s="368" t="n"/>
      <c r="Q38" s="565" t="n"/>
      <c r="R38" s="130" t="n"/>
      <c r="S38" s="368" t="n"/>
      <c r="T38" s="565" t="n"/>
      <c r="U38" s="368" t="n"/>
      <c r="V38" s="565" t="n"/>
      <c r="W38" s="403" t="inlineStr">
        <is>
          <t>VİŞNELİ KURABİYE</t>
        </is>
      </c>
      <c r="X38" s="564" t="n"/>
      <c r="Y38" s="565" t="n"/>
      <c r="Z38" s="411">
        <f>D38+I38+N38+S38</f>
        <v/>
      </c>
      <c r="AA38" s="584" t="n"/>
      <c r="AB38" s="584" t="n"/>
      <c r="AC38" s="598" t="n"/>
    </row>
    <row r="39" ht="70" customHeight="1">
      <c r="A39" s="369" t="inlineStr">
        <is>
          <t>BADEMLİ UN KURABİYESİ</t>
        </is>
      </c>
      <c r="B39" s="564" t="n"/>
      <c r="C39" s="565" t="n"/>
      <c r="D39" s="385" t="n"/>
      <c r="E39" s="565" t="n"/>
      <c r="F39" s="385" t="n"/>
      <c r="G39" s="565" t="n"/>
      <c r="H39" s="129" t="n"/>
      <c r="I39" s="368" t="n"/>
      <c r="J39" s="565" t="n"/>
      <c r="K39" s="368" t="n"/>
      <c r="L39" s="565" t="n"/>
      <c r="M39" s="129" t="n"/>
      <c r="N39" s="368" t="n"/>
      <c r="O39" s="565" t="n"/>
      <c r="P39" s="368" t="n"/>
      <c r="Q39" s="565" t="n"/>
      <c r="R39" s="130" t="n"/>
      <c r="S39" s="368" t="n"/>
      <c r="T39" s="565" t="n"/>
      <c r="U39" s="368" t="n"/>
      <c r="V39" s="565" t="n"/>
      <c r="W39" s="403" t="inlineStr">
        <is>
          <t>BADEMLİ UN KURABİYESİ</t>
        </is>
      </c>
      <c r="X39" s="564" t="n"/>
      <c r="Y39" s="565" t="n"/>
      <c r="Z39" s="411">
        <f>D39+I39+N39+S39</f>
        <v/>
      </c>
      <c r="AA39" s="584" t="n"/>
      <c r="AB39" s="584" t="n"/>
      <c r="AC39" s="598" t="n"/>
    </row>
    <row r="40" ht="70" customHeight="1">
      <c r="A40" s="369" t="inlineStr">
        <is>
          <t>DAMALI</t>
        </is>
      </c>
      <c r="B40" s="564" t="n"/>
      <c r="C40" s="565" t="n"/>
      <c r="D40" s="385" t="n">
        <v>0.5</v>
      </c>
      <c r="E40" s="565" t="n"/>
      <c r="F40" s="385" t="n"/>
      <c r="G40" s="565" t="n"/>
      <c r="H40" s="129" t="n"/>
      <c r="I40" s="368" t="n"/>
      <c r="J40" s="565" t="n"/>
      <c r="K40" s="368" t="n"/>
      <c r="L40" s="565" t="n"/>
      <c r="M40" s="129" t="n"/>
      <c r="N40" s="368" t="n"/>
      <c r="O40" s="565" t="n"/>
      <c r="P40" s="368" t="n"/>
      <c r="Q40" s="565" t="n"/>
      <c r="R40" s="130" t="n"/>
      <c r="S40" s="368" t="n"/>
      <c r="T40" s="565" t="n"/>
      <c r="U40" s="368" t="n"/>
      <c r="V40" s="565" t="n"/>
      <c r="W40" s="403" t="inlineStr">
        <is>
          <t>DAMALI</t>
        </is>
      </c>
      <c r="X40" s="564" t="n"/>
      <c r="Y40" s="565" t="n"/>
      <c r="Z40" s="411">
        <f>D40+I40+N40+S40</f>
        <v/>
      </c>
      <c r="AA40" s="584" t="n"/>
      <c r="AB40" s="584" t="n"/>
      <c r="AC40" s="598" t="n"/>
    </row>
    <row r="41" ht="70" customHeight="1">
      <c r="A41" s="369" t="inlineStr">
        <is>
          <t>MARMELATLI KALP</t>
        </is>
      </c>
      <c r="B41" s="564" t="n"/>
      <c r="C41" s="565" t="n"/>
      <c r="D41" s="385" t="n"/>
      <c r="E41" s="565" t="n"/>
      <c r="F41" s="385" t="n"/>
      <c r="G41" s="565" t="n"/>
      <c r="H41" s="129" t="n"/>
      <c r="I41" s="368" t="n"/>
      <c r="J41" s="565" t="n"/>
      <c r="K41" s="368" t="n"/>
      <c r="L41" s="565" t="n"/>
      <c r="M41" s="129" t="n"/>
      <c r="N41" s="368" t="n"/>
      <c r="O41" s="565" t="n"/>
      <c r="P41" s="368" t="n"/>
      <c r="Q41" s="565" t="n"/>
      <c r="R41" s="130" t="n"/>
      <c r="S41" s="368" t="n"/>
      <c r="T41" s="565" t="n"/>
      <c r="U41" s="368" t="n"/>
      <c r="V41" s="565" t="n"/>
      <c r="W41" s="403" t="inlineStr">
        <is>
          <t>MARMELATLI KALP</t>
        </is>
      </c>
      <c r="X41" s="564" t="n"/>
      <c r="Y41" s="565" t="n"/>
      <c r="Z41" s="411">
        <f>D41+I41+N41+S41</f>
        <v/>
      </c>
      <c r="AA41" s="584" t="n"/>
      <c r="AB41" s="584" t="n"/>
      <c r="AC41" s="598" t="n"/>
    </row>
    <row r="42" ht="70" customHeight="1">
      <c r="A42" s="369" t="inlineStr">
        <is>
          <t>DÖKME ÇİKOLATALI KALP</t>
        </is>
      </c>
      <c r="B42" s="564" t="n"/>
      <c r="C42" s="565" t="n"/>
      <c r="D42" s="385" t="n"/>
      <c r="E42" s="565" t="n"/>
      <c r="F42" s="385" t="n"/>
      <c r="G42" s="565" t="n"/>
      <c r="H42" s="129" t="n"/>
      <c r="I42" s="368" t="n"/>
      <c r="J42" s="565" t="n"/>
      <c r="K42" s="368" t="n"/>
      <c r="L42" s="565" t="n"/>
      <c r="M42" s="129" t="n"/>
      <c r="N42" s="368" t="n"/>
      <c r="O42" s="565" t="n"/>
      <c r="P42" s="368" t="n"/>
      <c r="Q42" s="565" t="n"/>
      <c r="R42" s="130" t="n"/>
      <c r="S42" s="368" t="n"/>
      <c r="T42" s="565" t="n"/>
      <c r="U42" s="368" t="n"/>
      <c r="V42" s="565" t="n"/>
      <c r="W42" s="403" t="inlineStr">
        <is>
          <t>DÖKME ÇİKOLATALI KALP</t>
        </is>
      </c>
      <c r="X42" s="564" t="n"/>
      <c r="Y42" s="565" t="n"/>
      <c r="Z42" s="411">
        <f>D42+I42+N42+S42</f>
        <v/>
      </c>
      <c r="AA42" s="584" t="n"/>
      <c r="AB42" s="584" t="n"/>
      <c r="AC42" s="598" t="n"/>
    </row>
    <row r="43" ht="70" customHeight="1">
      <c r="A43" s="369" t="inlineStr">
        <is>
          <t>FINDIKLI DÖKME ÇİKO KALP</t>
        </is>
      </c>
      <c r="B43" s="564" t="n"/>
      <c r="C43" s="565" t="n"/>
      <c r="D43" s="385" t="n"/>
      <c r="E43" s="565" t="n"/>
      <c r="F43" s="385" t="n"/>
      <c r="G43" s="565" t="n"/>
      <c r="H43" s="129" t="n"/>
      <c r="I43" s="368" t="n"/>
      <c r="J43" s="565" t="n"/>
      <c r="K43" s="368" t="n"/>
      <c r="L43" s="565" t="n"/>
      <c r="M43" s="129" t="n"/>
      <c r="N43" s="368" t="n"/>
      <c r="O43" s="565" t="n"/>
      <c r="P43" s="368" t="n"/>
      <c r="Q43" s="565" t="n"/>
      <c r="R43" s="130" t="n"/>
      <c r="S43" s="368" t="n"/>
      <c r="T43" s="565" t="n"/>
      <c r="U43" s="368" t="n"/>
      <c r="V43" s="565" t="n"/>
      <c r="W43" s="403" t="inlineStr">
        <is>
          <t>FINDIKLI DÖKME ÇİKO KALP</t>
        </is>
      </c>
      <c r="X43" s="564" t="n"/>
      <c r="Y43" s="565" t="n"/>
      <c r="Z43" s="411">
        <f>D43+I43+N43+S43</f>
        <v/>
      </c>
      <c r="AA43" s="584" t="n"/>
      <c r="AB43" s="584" t="n"/>
      <c r="AC43" s="598" t="n"/>
    </row>
    <row r="44" ht="70" customHeight="1">
      <c r="A44" s="369" t="inlineStr">
        <is>
          <t>LAYD HAND SİYAH</t>
        </is>
      </c>
      <c r="B44" s="564" t="n"/>
      <c r="C44" s="565" t="n"/>
      <c r="D44" s="385" t="n">
        <v>0.5</v>
      </c>
      <c r="E44" s="565" t="n"/>
      <c r="F44" s="385" t="n"/>
      <c r="G44" s="565" t="n"/>
      <c r="H44" s="129" t="n"/>
      <c r="I44" s="368" t="n"/>
      <c r="J44" s="565" t="n"/>
      <c r="K44" s="368" t="n"/>
      <c r="L44" s="565" t="n"/>
      <c r="M44" s="129" t="n"/>
      <c r="N44" s="368" t="n"/>
      <c r="O44" s="565" t="n"/>
      <c r="P44" s="368" t="n"/>
      <c r="Q44" s="565" t="n"/>
      <c r="R44" s="130" t="n"/>
      <c r="S44" s="368" t="n"/>
      <c r="T44" s="565" t="n"/>
      <c r="U44" s="368" t="n"/>
      <c r="V44" s="565" t="n"/>
      <c r="W44" s="403" t="inlineStr">
        <is>
          <t>LAYD HAND SİYAH</t>
        </is>
      </c>
      <c r="X44" s="564" t="n"/>
      <c r="Y44" s="565" t="n"/>
      <c r="Z44" s="411">
        <f>D44+I44+N44+S44</f>
        <v/>
      </c>
      <c r="AA44" s="584" t="n"/>
      <c r="AB44" s="584" t="n"/>
      <c r="AC44" s="598" t="n"/>
    </row>
    <row r="45" ht="70" customHeight="1">
      <c r="A45" s="369" t="inlineStr">
        <is>
          <t>LAYD HAND BEYAZ</t>
        </is>
      </c>
      <c r="B45" s="564" t="n"/>
      <c r="C45" s="565" t="n"/>
      <c r="D45" s="385" t="n">
        <v>0.5</v>
      </c>
      <c r="E45" s="565" t="n"/>
      <c r="F45" s="385" t="n"/>
      <c r="G45" s="565" t="n"/>
      <c r="H45" s="129" t="n"/>
      <c r="I45" s="368" t="n"/>
      <c r="J45" s="565" t="n"/>
      <c r="K45" s="368" t="n"/>
      <c r="L45" s="565" t="n"/>
      <c r="M45" s="129" t="n"/>
      <c r="N45" s="368" t="n"/>
      <c r="O45" s="565" t="n"/>
      <c r="P45" s="368" t="n"/>
      <c r="Q45" s="565" t="n"/>
      <c r="R45" s="130" t="n"/>
      <c r="S45" s="368" t="n"/>
      <c r="T45" s="565" t="n"/>
      <c r="U45" s="368" t="n"/>
      <c r="V45" s="565" t="n"/>
      <c r="W45" s="403" t="inlineStr">
        <is>
          <t>LAYD HAND BEYAZ</t>
        </is>
      </c>
      <c r="X45" s="564" t="n"/>
      <c r="Y45" s="565" t="n"/>
      <c r="Z45" s="411">
        <f>D45+I45+N45+S45</f>
        <v/>
      </c>
      <c r="AA45" s="584" t="n"/>
      <c r="AB45" s="584" t="n"/>
      <c r="AC45" s="598" t="n"/>
    </row>
    <row r="46" ht="70" customHeight="1">
      <c r="A46" s="369" t="inlineStr">
        <is>
          <t>SELANİK GEVREĞİ</t>
        </is>
      </c>
      <c r="B46" s="564" t="n"/>
      <c r="C46" s="565" t="n"/>
      <c r="D46" s="385" t="n">
        <v>0.5</v>
      </c>
      <c r="E46" s="565" t="n"/>
      <c r="F46" s="385" t="n"/>
      <c r="G46" s="565" t="n"/>
      <c r="H46" s="129" t="n"/>
      <c r="I46" s="368" t="n"/>
      <c r="J46" s="565" t="n"/>
      <c r="K46" s="368" t="n"/>
      <c r="L46" s="565" t="n"/>
      <c r="M46" s="129" t="n"/>
      <c r="N46" s="368" t="n"/>
      <c r="O46" s="565" t="n"/>
      <c r="P46" s="368" t="n"/>
      <c r="Q46" s="565" t="n"/>
      <c r="R46" s="130" t="n"/>
      <c r="S46" s="368" t="n"/>
      <c r="T46" s="565" t="n"/>
      <c r="U46" s="368" t="n"/>
      <c r="V46" s="565" t="n"/>
      <c r="W46" s="403" t="inlineStr">
        <is>
          <t>SELANİK GEVREĞİ</t>
        </is>
      </c>
      <c r="X46" s="564" t="n"/>
      <c r="Y46" s="565" t="n"/>
      <c r="Z46" s="411">
        <f>D46+I46+N46+S46</f>
        <v/>
      </c>
      <c r="AA46" s="584" t="n"/>
      <c r="AB46" s="584" t="n"/>
      <c r="AC46" s="598" t="n"/>
    </row>
    <row r="47" ht="70" customHeight="1">
      <c r="A47" s="369" t="inlineStr">
        <is>
          <t>DAMLA SAKIZLI KURABİYE</t>
        </is>
      </c>
      <c r="B47" s="564" t="n"/>
      <c r="C47" s="565" t="n"/>
      <c r="D47" s="385" t="n">
        <v>0.5</v>
      </c>
      <c r="E47" s="565" t="n"/>
      <c r="F47" s="385" t="n"/>
      <c r="G47" s="565" t="n"/>
      <c r="H47" s="129" t="n"/>
      <c r="I47" s="368" t="n"/>
      <c r="J47" s="565" t="n"/>
      <c r="K47" s="368" t="n"/>
      <c r="L47" s="565" t="n"/>
      <c r="M47" s="129" t="n"/>
      <c r="N47" s="368" t="n"/>
      <c r="O47" s="565" t="n"/>
      <c r="P47" s="368" t="n"/>
      <c r="Q47" s="565" t="n"/>
      <c r="R47" s="130" t="n"/>
      <c r="S47" s="368" t="n"/>
      <c r="T47" s="565" t="n"/>
      <c r="U47" s="368" t="n"/>
      <c r="V47" s="565" t="n"/>
      <c r="W47" s="403" t="inlineStr">
        <is>
          <t>DAMLA SAKIZLI KURABİYE</t>
        </is>
      </c>
      <c r="X47" s="564" t="n"/>
      <c r="Y47" s="565" t="n"/>
      <c r="Z47" s="411">
        <f>D47+I47+N47+S47</f>
        <v/>
      </c>
      <c r="AA47" s="584" t="n"/>
      <c r="AB47" s="584" t="n"/>
      <c r="AC47" s="598" t="n"/>
    </row>
    <row r="48" ht="70" customHeight="1">
      <c r="A48" s="369" t="inlineStr">
        <is>
          <t>PORTAKALLI UN KURABİYESİ</t>
        </is>
      </c>
      <c r="B48" s="564" t="n"/>
      <c r="C48" s="565" t="n"/>
      <c r="D48" s="385" t="n">
        <v>0.5</v>
      </c>
      <c r="E48" s="565" t="n"/>
      <c r="F48" s="385" t="n"/>
      <c r="G48" s="565" t="n"/>
      <c r="H48" s="129" t="n"/>
      <c r="I48" s="368" t="n"/>
      <c r="J48" s="565" t="n"/>
      <c r="K48" s="368" t="n"/>
      <c r="L48" s="565" t="n"/>
      <c r="M48" s="129" t="n"/>
      <c r="N48" s="368" t="n"/>
      <c r="O48" s="565" t="n"/>
      <c r="P48" s="368" t="n"/>
      <c r="Q48" s="565" t="n"/>
      <c r="R48" s="130" t="n"/>
      <c r="S48" s="368" t="n"/>
      <c r="T48" s="565" t="n"/>
      <c r="U48" s="368" t="n"/>
      <c r="V48" s="565" t="n"/>
      <c r="W48" s="403" t="inlineStr">
        <is>
          <t>PORTAKALLI UN KURABİYESİ</t>
        </is>
      </c>
      <c r="X48" s="564" t="n"/>
      <c r="Y48" s="565" t="n"/>
      <c r="Z48" s="411">
        <f>D48+I48+N48+S48</f>
        <v/>
      </c>
      <c r="AA48" s="584" t="n"/>
      <c r="AB48" s="584" t="n"/>
      <c r="AC48" s="598" t="n"/>
    </row>
    <row r="49" ht="70" customHeight="1">
      <c r="A49" s="379" t="inlineStr">
        <is>
          <t>KAYISILI İNCİRLİ BİSCOTTİ</t>
        </is>
      </c>
      <c r="B49" s="567" t="n"/>
      <c r="C49" s="568" t="n"/>
      <c r="D49" s="385" t="n"/>
      <c r="E49" s="565" t="n"/>
      <c r="F49" s="385" t="n"/>
      <c r="G49" s="565" t="n"/>
      <c r="H49" s="129" t="n"/>
      <c r="I49" s="368" t="n"/>
      <c r="J49" s="565" t="n"/>
      <c r="K49" s="368" t="n"/>
      <c r="L49" s="565" t="n"/>
      <c r="M49" s="129" t="n"/>
      <c r="N49" s="368" t="n"/>
      <c r="O49" s="565" t="n"/>
      <c r="P49" s="368" t="n"/>
      <c r="Q49" s="565" t="n"/>
      <c r="R49" s="130" t="n"/>
      <c r="S49" s="368" t="n"/>
      <c r="T49" s="565" t="n"/>
      <c r="U49" s="368" t="n"/>
      <c r="V49" s="565" t="n"/>
      <c r="W49" s="412" t="inlineStr">
        <is>
          <t>KAYISILI İNCİRLİ BİSCOTTİ</t>
        </is>
      </c>
      <c r="X49" s="567" t="n"/>
      <c r="Y49" s="568" t="n"/>
      <c r="Z49" s="411">
        <f>D49+I49+N49+S49</f>
        <v/>
      </c>
      <c r="AA49" s="584" t="n"/>
      <c r="AB49" s="584" t="n"/>
      <c r="AC49" s="598" t="n"/>
    </row>
    <row r="50" ht="11" customHeight="1">
      <c r="A50" s="95" t="n"/>
      <c r="B50" s="96" t="n"/>
      <c r="C50" s="96" t="n"/>
      <c r="D50" s="131" t="n"/>
      <c r="E50" s="131" t="n"/>
      <c r="F50" s="131" t="n"/>
      <c r="G50" s="132" t="n"/>
      <c r="H50" s="129" t="n"/>
      <c r="I50" s="133" t="n"/>
      <c r="J50" s="133" t="n"/>
      <c r="K50" s="133" t="n"/>
      <c r="L50" s="133" t="n"/>
      <c r="M50" s="129" t="n"/>
      <c r="N50" s="133" t="n"/>
      <c r="O50" s="133" t="n"/>
      <c r="P50" s="133" t="n"/>
      <c r="Q50" s="133" t="n"/>
      <c r="R50" s="130" t="n"/>
      <c r="S50" s="134" t="n"/>
      <c r="T50" s="134" t="n"/>
      <c r="U50" s="134" t="n"/>
      <c r="V50" s="134" t="n"/>
      <c r="W50" s="14" t="n"/>
      <c r="X50" s="14" t="n"/>
      <c r="Y50" s="14" t="n"/>
      <c r="Z50" s="14" t="n"/>
      <c r="AA50" s="14" t="n"/>
      <c r="AB50" s="15" t="n"/>
      <c r="AC50" s="16" t="n"/>
    </row>
    <row r="51" ht="70" customHeight="1">
      <c r="A51" s="369" t="inlineStr">
        <is>
          <t>UNSUZ DEREOTLU MEKİK</t>
        </is>
      </c>
      <c r="B51" s="564" t="n"/>
      <c r="C51" s="565" t="n"/>
      <c r="D51" s="385" t="n"/>
      <c r="E51" s="565" t="n"/>
      <c r="F51" s="385" t="n"/>
      <c r="G51" s="565" t="n"/>
      <c r="H51" s="129" t="n"/>
      <c r="I51" s="368" t="n"/>
      <c r="J51" s="565" t="n"/>
      <c r="K51" s="368" t="n"/>
      <c r="L51" s="565" t="n"/>
      <c r="M51" s="129" t="n"/>
      <c r="N51" s="368" t="n"/>
      <c r="O51" s="565" t="n"/>
      <c r="P51" s="368" t="n"/>
      <c r="Q51" s="565" t="n"/>
      <c r="R51" s="130" t="n"/>
      <c r="S51" s="368" t="n"/>
      <c r="T51" s="565" t="n"/>
      <c r="U51" s="368" t="n"/>
      <c r="V51" s="565" t="n"/>
      <c r="W51" s="403" t="inlineStr">
        <is>
          <t>UNSUZ DEREOTLU MEKİK</t>
        </is>
      </c>
      <c r="X51" s="564" t="n"/>
      <c r="Y51" s="565" t="n"/>
      <c r="Z51" s="411">
        <f>D51+I51+N51+S51</f>
        <v/>
      </c>
      <c r="AA51" s="584" t="n"/>
      <c r="AB51" s="584" t="n"/>
      <c r="AC51" s="598" t="n"/>
    </row>
    <row r="52" ht="70" customHeight="1">
      <c r="A52" s="381" t="inlineStr">
        <is>
          <t>UNSUZ KEÇİBOYNUZU MEKİK</t>
        </is>
      </c>
      <c r="B52" s="584" t="n"/>
      <c r="C52" s="598" t="n"/>
      <c r="D52" s="382" t="n"/>
      <c r="E52" s="598" t="n"/>
      <c r="F52" s="382" t="n"/>
      <c r="G52" s="598" t="n"/>
      <c r="H52" s="129" t="n"/>
      <c r="I52" s="368" t="n"/>
      <c r="J52" s="565" t="n"/>
      <c r="K52" s="368" t="n"/>
      <c r="L52" s="565" t="n"/>
      <c r="M52" s="129" t="n"/>
      <c r="N52" s="368" t="n"/>
      <c r="O52" s="565" t="n"/>
      <c r="P52" s="368" t="n"/>
      <c r="Q52" s="565" t="n"/>
      <c r="R52" s="130" t="n"/>
      <c r="S52" s="368" t="n"/>
      <c r="T52" s="565" t="n"/>
      <c r="U52" s="368" t="n"/>
      <c r="V52" s="565" t="n"/>
      <c r="W52" s="403" t="inlineStr">
        <is>
          <t>UNSUZ KEÇİBOYNUZU MEKİK</t>
        </is>
      </c>
      <c r="X52" s="564" t="n"/>
      <c r="Y52" s="565" t="n"/>
      <c r="Z52" s="411">
        <f>D52+I52+N52+S52</f>
        <v/>
      </c>
      <c r="AA52" s="584" t="n"/>
      <c r="AB52" s="584" t="n"/>
      <c r="AC52" s="598" t="n"/>
    </row>
    <row r="53" ht="70" customHeight="1">
      <c r="A53" s="369" t="inlineStr">
        <is>
          <t>UNSUZ KAKAO CHİA</t>
        </is>
      </c>
      <c r="B53" s="564" t="n"/>
      <c r="C53" s="565" t="n"/>
      <c r="D53" s="382" t="n"/>
      <c r="E53" s="598" t="n"/>
      <c r="F53" s="382" t="n"/>
      <c r="G53" s="598" t="n"/>
      <c r="H53" s="129" t="n"/>
      <c r="I53" s="368" t="n"/>
      <c r="J53" s="565" t="n"/>
      <c r="K53" s="368" t="n"/>
      <c r="L53" s="565" t="n"/>
      <c r="M53" s="129" t="n"/>
      <c r="N53" s="368" t="n"/>
      <c r="O53" s="565" t="n"/>
      <c r="P53" s="368" t="n"/>
      <c r="Q53" s="565" t="n"/>
      <c r="R53" s="130" t="n"/>
      <c r="S53" s="368" t="n"/>
      <c r="T53" s="565" t="n"/>
      <c r="U53" s="368" t="n"/>
      <c r="V53" s="565" t="n"/>
      <c r="W53" s="403" t="inlineStr">
        <is>
          <t>UNSUZ KAKAO CHİA</t>
        </is>
      </c>
      <c r="X53" s="564" t="n"/>
      <c r="Y53" s="565" t="n"/>
      <c r="Z53" s="411">
        <f>D53+I53+N53+S53</f>
        <v/>
      </c>
      <c r="AA53" s="584" t="n"/>
      <c r="AB53" s="584" t="n"/>
      <c r="AC53" s="598" t="n"/>
    </row>
    <row r="54" ht="70" customHeight="1">
      <c r="A54" s="369" t="inlineStr">
        <is>
          <t>UNSUZ LİMONLU CHİA</t>
        </is>
      </c>
      <c r="B54" s="564" t="n"/>
      <c r="C54" s="565" t="n"/>
      <c r="D54" s="382" t="n">
        <v>0.5</v>
      </c>
      <c r="E54" s="598" t="n"/>
      <c r="F54" s="382" t="n"/>
      <c r="G54" s="598" t="n"/>
      <c r="H54" s="129" t="n"/>
      <c r="I54" s="368" t="n"/>
      <c r="J54" s="565" t="n"/>
      <c r="K54" s="368" t="n"/>
      <c r="L54" s="565" t="n"/>
      <c r="M54" s="129" t="n"/>
      <c r="N54" s="368" t="n"/>
      <c r="O54" s="565" t="n"/>
      <c r="P54" s="368" t="n"/>
      <c r="Q54" s="565" t="n"/>
      <c r="R54" s="130" t="n"/>
      <c r="S54" s="368" t="n"/>
      <c r="T54" s="565" t="n"/>
      <c r="U54" s="368" t="n"/>
      <c r="V54" s="565" t="n"/>
      <c r="W54" s="403" t="inlineStr">
        <is>
          <t>UNSUZ LİMONLU CHİA</t>
        </is>
      </c>
      <c r="X54" s="564" t="n"/>
      <c r="Y54" s="565" t="n"/>
      <c r="Z54" s="411">
        <f>D54+I54+N54+S54</f>
        <v/>
      </c>
      <c r="AA54" s="584" t="n"/>
      <c r="AB54" s="584" t="n"/>
      <c r="AC54" s="598" t="n"/>
    </row>
    <row r="55" ht="70" customHeight="1">
      <c r="A55" s="369" t="inlineStr">
        <is>
          <t>UNSUZ YABAN MERSİNLİ</t>
        </is>
      </c>
      <c r="B55" s="564" t="n"/>
      <c r="C55" s="565" t="n"/>
      <c r="D55" s="382" t="n">
        <v>0.5</v>
      </c>
      <c r="E55" s="598" t="n"/>
      <c r="F55" s="382" t="n"/>
      <c r="G55" s="598" t="n"/>
      <c r="H55" s="129" t="n"/>
      <c r="I55" s="368" t="n"/>
      <c r="J55" s="565" t="n"/>
      <c r="K55" s="368" t="n"/>
      <c r="L55" s="565" t="n"/>
      <c r="M55" s="129" t="n"/>
      <c r="N55" s="368" t="n"/>
      <c r="O55" s="565" t="n"/>
      <c r="P55" s="368" t="n"/>
      <c r="Q55" s="565" t="n"/>
      <c r="R55" s="130" t="n"/>
      <c r="S55" s="368" t="n"/>
      <c r="T55" s="565" t="n"/>
      <c r="U55" s="368" t="n"/>
      <c r="V55" s="565" t="n"/>
      <c r="W55" s="403" t="inlineStr">
        <is>
          <t>UNSUZ YABAN MERSİNLİ</t>
        </is>
      </c>
      <c r="X55" s="564" t="n"/>
      <c r="Y55" s="565" t="n"/>
      <c r="Z55" s="411">
        <f>D55+I55+N55+S55</f>
        <v/>
      </c>
      <c r="AA55" s="584" t="n"/>
      <c r="AB55" s="584" t="n"/>
      <c r="AC55" s="598" t="n"/>
    </row>
    <row r="56" ht="70" customHeight="1">
      <c r="A56" s="369" t="inlineStr">
        <is>
          <t>HURMALI BROWNİ</t>
        </is>
      </c>
      <c r="B56" s="564" t="n"/>
      <c r="C56" s="565" t="n"/>
      <c r="D56" s="382" t="n">
        <v>0.5</v>
      </c>
      <c r="E56" s="598" t="n"/>
      <c r="F56" s="382" t="n"/>
      <c r="G56" s="598" t="n"/>
      <c r="H56" s="129" t="n"/>
      <c r="I56" s="368" t="n"/>
      <c r="J56" s="565" t="n"/>
      <c r="K56" s="368" t="n"/>
      <c r="L56" s="565" t="n"/>
      <c r="M56" s="129" t="n"/>
      <c r="N56" s="368" t="n"/>
      <c r="O56" s="565" t="n"/>
      <c r="P56" s="368" t="n"/>
      <c r="Q56" s="565" t="n"/>
      <c r="R56" s="130" t="n"/>
      <c r="S56" s="368" t="n"/>
      <c r="T56" s="565" t="n"/>
      <c r="U56" s="368" t="n"/>
      <c r="V56" s="565" t="n"/>
      <c r="W56" s="403" t="inlineStr">
        <is>
          <t>HURMALI BROWNİ</t>
        </is>
      </c>
      <c r="X56" s="564" t="n"/>
      <c r="Y56" s="565" t="n"/>
      <c r="Z56" s="411">
        <f>D56+I56+N56+S56</f>
        <v/>
      </c>
      <c r="AA56" s="584" t="n"/>
      <c r="AB56" s="584" t="n"/>
      <c r="AC56" s="598" t="n"/>
    </row>
    <row r="57" ht="70" customHeight="1">
      <c r="A57" s="369" t="inlineStr">
        <is>
          <t>HURMALI DİLİM</t>
        </is>
      </c>
      <c r="B57" s="564" t="n"/>
      <c r="C57" s="565" t="n"/>
      <c r="D57" s="382" t="n"/>
      <c r="E57" s="598" t="n"/>
      <c r="F57" s="382" t="n"/>
      <c r="G57" s="598" t="n"/>
      <c r="H57" s="129" t="n"/>
      <c r="I57" s="368" t="n"/>
      <c r="J57" s="565" t="n"/>
      <c r="K57" s="368" t="n"/>
      <c r="L57" s="565" t="n"/>
      <c r="M57" s="129" t="n"/>
      <c r="N57" s="368" t="n"/>
      <c r="O57" s="565" t="n"/>
      <c r="P57" s="368" t="n"/>
      <c r="Q57" s="565" t="n"/>
      <c r="R57" s="130" t="n"/>
      <c r="S57" s="368" t="n"/>
      <c r="T57" s="565" t="n"/>
      <c r="U57" s="368" t="n"/>
      <c r="V57" s="565" t="n"/>
      <c r="W57" s="403" t="inlineStr">
        <is>
          <t>HURMALI DİLİM</t>
        </is>
      </c>
      <c r="X57" s="564" t="n"/>
      <c r="Y57" s="565" t="n"/>
      <c r="Z57" s="411">
        <f>D57+I57+N57+S57</f>
        <v/>
      </c>
      <c r="AA57" s="584" t="n"/>
      <c r="AB57" s="584" t="n"/>
      <c r="AC57" s="598" t="n"/>
    </row>
    <row r="58" ht="70" customHeight="1">
      <c r="A58" s="369" t="inlineStr">
        <is>
          <t>HAVUÇLU BROWNİ</t>
        </is>
      </c>
      <c r="B58" s="564" t="n"/>
      <c r="C58" s="565" t="n"/>
      <c r="D58" s="382" t="n"/>
      <c r="E58" s="598" t="n"/>
      <c r="F58" s="382" t="n"/>
      <c r="G58" s="598" t="n"/>
      <c r="H58" s="129" t="n"/>
      <c r="I58" s="368" t="n"/>
      <c r="J58" s="565" t="n"/>
      <c r="K58" s="368" t="n"/>
      <c r="L58" s="565" t="n"/>
      <c r="M58" s="129" t="n"/>
      <c r="N58" s="368" t="n"/>
      <c r="O58" s="565" t="n"/>
      <c r="P58" s="368" t="n"/>
      <c r="Q58" s="565" t="n"/>
      <c r="R58" s="130" t="n"/>
      <c r="S58" s="368" t="n"/>
      <c r="T58" s="565" t="n"/>
      <c r="U58" s="368" t="n"/>
      <c r="V58" s="565" t="n"/>
      <c r="W58" s="403" t="inlineStr">
        <is>
          <t>HAVUÇLU BROWNİ</t>
        </is>
      </c>
      <c r="X58" s="564" t="n"/>
      <c r="Y58" s="565" t="n"/>
      <c r="Z58" s="411">
        <f>D58+I58+N58+S58</f>
        <v/>
      </c>
      <c r="AA58" s="584" t="n"/>
      <c r="AB58" s="584" t="n"/>
      <c r="AC58" s="598" t="n"/>
    </row>
    <row r="59" ht="70" customHeight="1">
      <c r="A59" s="369" t="inlineStr">
        <is>
          <t>PORTAKALLI ÇİKOLATA</t>
        </is>
      </c>
      <c r="B59" s="564" t="n"/>
      <c r="C59" s="565" t="n"/>
      <c r="D59" s="382" t="n"/>
      <c r="E59" s="598" t="n"/>
      <c r="F59" s="382" t="n"/>
      <c r="G59" s="598" t="n"/>
      <c r="H59" s="129" t="n"/>
      <c r="I59" s="368" t="n"/>
      <c r="J59" s="565" t="n"/>
      <c r="K59" s="368" t="n"/>
      <c r="L59" s="565" t="n"/>
      <c r="M59" s="129" t="n"/>
      <c r="N59" s="368" t="n"/>
      <c r="O59" s="565" t="n"/>
      <c r="P59" s="368" t="n"/>
      <c r="Q59" s="565" t="n"/>
      <c r="R59" s="130" t="n"/>
      <c r="S59" s="368" t="n"/>
      <c r="T59" s="565" t="n"/>
      <c r="U59" s="368" t="n"/>
      <c r="V59" s="565" t="n"/>
      <c r="W59" s="403" t="inlineStr">
        <is>
          <t>PORTAKALLI ÇİKOLATA</t>
        </is>
      </c>
      <c r="X59" s="564" t="n"/>
      <c r="Y59" s="565" t="n"/>
      <c r="Z59" s="411">
        <f>D59+I59+N59+S59</f>
        <v/>
      </c>
      <c r="AA59" s="584" t="n"/>
      <c r="AB59" s="584" t="n"/>
      <c r="AC59" s="598" t="n"/>
    </row>
    <row r="60" ht="70" customHeight="1">
      <c r="A60" s="369" t="inlineStr">
        <is>
          <t>ÇİKOLATA CİPS</t>
        </is>
      </c>
      <c r="B60" s="564" t="n"/>
      <c r="C60" s="565" t="n"/>
      <c r="D60" s="382" t="n">
        <v>3</v>
      </c>
      <c r="E60" s="598" t="n"/>
      <c r="F60" s="382" t="n"/>
      <c r="G60" s="598" t="n"/>
      <c r="H60" s="129" t="n"/>
      <c r="I60" s="368" t="n"/>
      <c r="J60" s="565" t="n"/>
      <c r="K60" s="368" t="n"/>
      <c r="L60" s="565" t="n"/>
      <c r="M60" s="129" t="n"/>
      <c r="N60" s="368" t="n"/>
      <c r="O60" s="565" t="n"/>
      <c r="P60" s="368" t="n"/>
      <c r="Q60" s="565" t="n"/>
      <c r="R60" s="130" t="n"/>
      <c r="S60" s="368" t="n"/>
      <c r="T60" s="565" t="n"/>
      <c r="U60" s="368" t="n"/>
      <c r="V60" s="565" t="n"/>
      <c r="W60" s="403" t="inlineStr">
        <is>
          <t>ÇİKOLATA CİPS</t>
        </is>
      </c>
      <c r="X60" s="564" t="n"/>
      <c r="Y60" s="565" t="n"/>
      <c r="Z60" s="411">
        <f>D60+I60+N60+S60</f>
        <v/>
      </c>
      <c r="AA60" s="584" t="n"/>
      <c r="AB60" s="584" t="n"/>
      <c r="AC60" s="598" t="n"/>
    </row>
    <row r="61" ht="70" customHeight="1" thickBot="1">
      <c r="A61" s="369" t="inlineStr">
        <is>
          <t>JAPON CİPSİ</t>
        </is>
      </c>
      <c r="B61" s="564" t="n"/>
      <c r="C61" s="565" t="n"/>
      <c r="D61" s="382" t="n"/>
      <c r="E61" s="598" t="n"/>
      <c r="F61" s="382" t="n"/>
      <c r="G61" s="598" t="n"/>
      <c r="H61" s="129" t="n"/>
      <c r="I61" s="368" t="n"/>
      <c r="J61" s="565" t="n"/>
      <c r="K61" s="368" t="n"/>
      <c r="L61" s="565" t="n"/>
      <c r="M61" s="129" t="n"/>
      <c r="N61" s="368" t="n"/>
      <c r="O61" s="565" t="n"/>
      <c r="P61" s="368" t="n"/>
      <c r="Q61" s="565" t="n"/>
      <c r="R61" s="130" t="n"/>
      <c r="S61" s="368" t="n"/>
      <c r="T61" s="565" t="n"/>
      <c r="U61" s="368" t="n"/>
      <c r="V61" s="565" t="n"/>
      <c r="W61" s="403" t="inlineStr">
        <is>
          <t>JAPON CİPSİ</t>
        </is>
      </c>
      <c r="X61" s="564" t="n"/>
      <c r="Y61" s="565" t="n"/>
      <c r="Z61" s="411">
        <f>D61+I61+N61+S61</f>
        <v/>
      </c>
      <c r="AA61" s="584" t="n"/>
      <c r="AB61" s="584" t="n"/>
      <c r="AC61" s="598" t="n"/>
    </row>
    <row r="62" ht="51" customHeight="1" thickBot="1">
      <c r="A62" s="605" t="inlineStr">
        <is>
          <t>KEKLER</t>
        </is>
      </c>
      <c r="B62" s="564" t="n"/>
      <c r="C62" s="606" t="n"/>
      <c r="D62" s="386" t="inlineStr">
        <is>
          <t>Nişantaşı</t>
        </is>
      </c>
      <c r="E62" s="589" t="n"/>
      <c r="F62" s="599" t="n"/>
      <c r="G62" s="591" t="n"/>
      <c r="H62" s="129" t="n"/>
      <c r="I62" s="600" t="inlineStr">
        <is>
          <t>Fulya</t>
        </is>
      </c>
      <c r="J62" s="591" t="n"/>
      <c r="K62" s="600" t="n"/>
      <c r="L62" s="591" t="n"/>
      <c r="M62" s="129" t="n"/>
      <c r="N62" s="601" t="inlineStr">
        <is>
          <t>Maslak</t>
        </is>
      </c>
      <c r="O62" s="591" t="n"/>
      <c r="P62" s="358" t="n"/>
      <c r="Q62" s="589" t="n"/>
      <c r="R62" s="130" t="n"/>
      <c r="S62" s="602" t="inlineStr">
        <is>
          <t>K.burnu</t>
        </is>
      </c>
      <c r="T62" s="591" t="n"/>
      <c r="U62" s="602" t="n"/>
      <c r="V62" s="591" t="n"/>
      <c r="W62" s="17" t="n"/>
      <c r="X62" s="17" t="n"/>
      <c r="Y62" s="17" t="n"/>
      <c r="Z62" s="17" t="n"/>
      <c r="AA62" s="17" t="n"/>
      <c r="AB62" s="17" t="n"/>
      <c r="AC62" s="18" t="n"/>
    </row>
    <row r="63" ht="75" customHeight="1">
      <c r="A63" s="369" t="inlineStr">
        <is>
          <t>HAVUÇLU MABLE</t>
        </is>
      </c>
      <c r="B63" s="564" t="n"/>
      <c r="C63" s="565" t="n"/>
      <c r="D63" s="385" t="n">
        <v>2</v>
      </c>
      <c r="E63" s="565" t="n"/>
      <c r="F63" s="385" t="n"/>
      <c r="G63" s="565" t="n"/>
      <c r="H63" s="129" t="n"/>
      <c r="I63" s="368" t="n"/>
      <c r="J63" s="565" t="n"/>
      <c r="K63" s="368" t="n"/>
      <c r="L63" s="565" t="n"/>
      <c r="M63" s="129" t="n"/>
      <c r="N63" s="368" t="n"/>
      <c r="O63" s="565" t="n"/>
      <c r="P63" s="368" t="n"/>
      <c r="Q63" s="565" t="n"/>
      <c r="R63" s="130" t="n"/>
      <c r="S63" s="368" t="n"/>
      <c r="T63" s="565" t="n"/>
      <c r="U63" s="368" t="n"/>
      <c r="V63" s="565" t="n"/>
      <c r="W63" s="403" t="inlineStr">
        <is>
          <t>HAVUÇLU MABLE</t>
        </is>
      </c>
      <c r="X63" s="564" t="n"/>
      <c r="Y63" s="565" t="n"/>
      <c r="Z63" s="411">
        <f>D63+I63+N63+S63</f>
        <v/>
      </c>
      <c r="AA63" s="584" t="n"/>
      <c r="AB63" s="584" t="n"/>
      <c r="AC63" s="598" t="n"/>
    </row>
    <row r="64" ht="75" customHeight="1">
      <c r="A64" s="369" t="inlineStr">
        <is>
          <t>ÜZÜMLÜ MABLE</t>
        </is>
      </c>
      <c r="B64" s="564" t="n"/>
      <c r="C64" s="565" t="n"/>
      <c r="D64" s="385" t="n"/>
      <c r="E64" s="565" t="n"/>
      <c r="F64" s="385" t="n"/>
      <c r="G64" s="565" t="n"/>
      <c r="H64" s="129" t="n"/>
      <c r="I64" s="368" t="n"/>
      <c r="J64" s="565" t="n"/>
      <c r="K64" s="368" t="n"/>
      <c r="L64" s="565" t="n"/>
      <c r="M64" s="129" t="n"/>
      <c r="N64" s="368" t="n"/>
      <c r="O64" s="565" t="n"/>
      <c r="P64" s="368" t="n"/>
      <c r="Q64" s="565" t="n"/>
      <c r="R64" s="130" t="n"/>
      <c r="S64" s="368" t="n"/>
      <c r="T64" s="565" t="n"/>
      <c r="U64" s="368" t="n"/>
      <c r="V64" s="565" t="n"/>
      <c r="W64" s="403" t="inlineStr">
        <is>
          <t>ÜZÜMLÜ MABLE</t>
        </is>
      </c>
      <c r="X64" s="564" t="n"/>
      <c r="Y64" s="565" t="n"/>
      <c r="Z64" s="411">
        <f>D64+I64+N64+S64</f>
        <v/>
      </c>
      <c r="AA64" s="584" t="n"/>
      <c r="AB64" s="584" t="n"/>
      <c r="AC64" s="598" t="n"/>
    </row>
    <row r="65" ht="75" customHeight="1">
      <c r="A65" s="369" t="inlineStr">
        <is>
          <t>LİMONLU MABLE</t>
        </is>
      </c>
      <c r="B65" s="564" t="n"/>
      <c r="C65" s="565" t="n"/>
      <c r="D65" s="385" t="n">
        <v>2</v>
      </c>
      <c r="E65" s="565" t="n"/>
      <c r="F65" s="385" t="n"/>
      <c r="G65" s="565" t="n"/>
      <c r="H65" s="129" t="n"/>
      <c r="I65" s="368" t="n"/>
      <c r="J65" s="565" t="n"/>
      <c r="K65" s="368" t="n"/>
      <c r="L65" s="565" t="n"/>
      <c r="M65" s="129" t="n"/>
      <c r="N65" s="368" t="n"/>
      <c r="O65" s="565" t="n"/>
      <c r="P65" s="368" t="n"/>
      <c r="Q65" s="565" t="n"/>
      <c r="R65" s="130" t="n"/>
      <c r="S65" s="368" t="n"/>
      <c r="T65" s="565" t="n"/>
      <c r="U65" s="368" t="n"/>
      <c r="V65" s="565" t="n"/>
      <c r="W65" s="403" t="inlineStr">
        <is>
          <t>LİMONLU MABLE</t>
        </is>
      </c>
      <c r="X65" s="564" t="n"/>
      <c r="Y65" s="565" t="n"/>
      <c r="Z65" s="411">
        <f>D65+I65+N65+S65</f>
        <v/>
      </c>
      <c r="AA65" s="584" t="n"/>
      <c r="AB65" s="584" t="n"/>
      <c r="AC65" s="598" t="n"/>
    </row>
    <row r="66" ht="75" customHeight="1">
      <c r="A66" s="369" t="inlineStr">
        <is>
          <t>PORTAKALLI MABLE</t>
        </is>
      </c>
      <c r="B66" s="564" t="n"/>
      <c r="C66" s="565" t="n"/>
      <c r="D66" s="385" t="n">
        <v>2</v>
      </c>
      <c r="E66" s="565" t="n"/>
      <c r="F66" s="385" t="n"/>
      <c r="G66" s="565" t="n"/>
      <c r="H66" s="129" t="n"/>
      <c r="I66" s="368" t="n"/>
      <c r="J66" s="565" t="n"/>
      <c r="K66" s="368" t="n"/>
      <c r="L66" s="565" t="n"/>
      <c r="M66" s="129" t="n"/>
      <c r="N66" s="368" t="n"/>
      <c r="O66" s="565" t="n"/>
      <c r="P66" s="368" t="n"/>
      <c r="Q66" s="565" t="n"/>
      <c r="R66" s="130" t="n"/>
      <c r="S66" s="368" t="n"/>
      <c r="T66" s="565" t="n"/>
      <c r="U66" s="368" t="n"/>
      <c r="V66" s="565" t="n"/>
      <c r="W66" s="403" t="inlineStr">
        <is>
          <t>PORTAKALLI MABLE</t>
        </is>
      </c>
      <c r="X66" s="564" t="n"/>
      <c r="Y66" s="565" t="n"/>
      <c r="Z66" s="411">
        <f>D66+I66+N66+S66</f>
        <v/>
      </c>
      <c r="AA66" s="584" t="n"/>
      <c r="AB66" s="584" t="n"/>
      <c r="AC66" s="598" t="n"/>
    </row>
    <row r="67" ht="75" customHeight="1">
      <c r="A67" s="369" t="inlineStr">
        <is>
          <t>ZEBRA MABLE</t>
        </is>
      </c>
      <c r="B67" s="564" t="n"/>
      <c r="C67" s="565" t="n"/>
      <c r="D67" s="385" t="n"/>
      <c r="E67" s="565" t="n"/>
      <c r="F67" s="385" t="n"/>
      <c r="G67" s="565" t="n"/>
      <c r="H67" s="129" t="n"/>
      <c r="I67" s="368" t="n"/>
      <c r="J67" s="565" t="n"/>
      <c r="K67" s="368" t="n"/>
      <c r="L67" s="565" t="n"/>
      <c r="M67" s="129" t="n"/>
      <c r="N67" s="368" t="n"/>
      <c r="O67" s="565" t="n"/>
      <c r="P67" s="368" t="n"/>
      <c r="Q67" s="565" t="n"/>
      <c r="R67" s="130" t="n"/>
      <c r="S67" s="368" t="n"/>
      <c r="T67" s="565" t="n"/>
      <c r="U67" s="368" t="n"/>
      <c r="V67" s="565" t="n"/>
      <c r="W67" s="403" t="inlineStr">
        <is>
          <t>ZEBRA MABLE</t>
        </is>
      </c>
      <c r="X67" s="564" t="n"/>
      <c r="Y67" s="565" t="n"/>
      <c r="Z67" s="411">
        <f>D67+I67+N67+S67</f>
        <v/>
      </c>
      <c r="AA67" s="584" t="n"/>
      <c r="AB67" s="584" t="n"/>
      <c r="AC67" s="598" t="n"/>
    </row>
    <row r="68" ht="75" customHeight="1">
      <c r="A68" s="369" t="inlineStr">
        <is>
          <t>ÇİKOLATA MABLE</t>
        </is>
      </c>
      <c r="B68" s="564" t="n"/>
      <c r="C68" s="565" t="n"/>
      <c r="D68" s="385" t="n">
        <v>3</v>
      </c>
      <c r="E68" s="565" t="n"/>
      <c r="F68" s="385" t="n"/>
      <c r="G68" s="565" t="n"/>
      <c r="H68" s="129" t="n"/>
      <c r="I68" s="368" t="n"/>
      <c r="J68" s="565" t="n"/>
      <c r="K68" s="368" t="n"/>
      <c r="L68" s="565" t="n"/>
      <c r="M68" s="129" t="n"/>
      <c r="N68" s="368" t="n"/>
      <c r="O68" s="565" t="n"/>
      <c r="P68" s="368" t="n"/>
      <c r="Q68" s="565" t="n"/>
      <c r="R68" s="130" t="n"/>
      <c r="S68" s="368" t="n"/>
      <c r="T68" s="565" t="n"/>
      <c r="U68" s="368" t="n"/>
      <c r="V68" s="565" t="n"/>
      <c r="W68" s="403" t="inlineStr">
        <is>
          <t>ÇİKOLATA MABLE</t>
        </is>
      </c>
      <c r="X68" s="564" t="n"/>
      <c r="Y68" s="565" t="n"/>
      <c r="Z68" s="411">
        <f>D68+I68+N68+S68</f>
        <v/>
      </c>
      <c r="AA68" s="584" t="n"/>
      <c r="AB68" s="584" t="n"/>
      <c r="AC68" s="598" t="n"/>
    </row>
    <row r="69" ht="75" customHeight="1">
      <c r="A69" s="369" t="inlineStr">
        <is>
          <t>ŞEKERSİZ MABLE</t>
        </is>
      </c>
      <c r="B69" s="564" t="n"/>
      <c r="C69" s="565" t="n"/>
      <c r="D69" s="385" t="n">
        <v>2</v>
      </c>
      <c r="E69" s="565" t="n"/>
      <c r="F69" s="385" t="n"/>
      <c r="G69" s="565" t="n"/>
      <c r="H69" s="129" t="n"/>
      <c r="I69" s="368" t="n"/>
      <c r="J69" s="565" t="n"/>
      <c r="K69" s="368" t="n"/>
      <c r="L69" s="565" t="n"/>
      <c r="M69" s="129" t="n"/>
      <c r="N69" s="368" t="n"/>
      <c r="O69" s="565" t="n"/>
      <c r="P69" s="368" t="n"/>
      <c r="Q69" s="565" t="n"/>
      <c r="R69" s="130" t="n"/>
      <c r="S69" s="368" t="n"/>
      <c r="T69" s="565" t="n"/>
      <c r="U69" s="368" t="n"/>
      <c r="V69" s="565" t="n"/>
      <c r="W69" s="403" t="inlineStr">
        <is>
          <t>ŞEKERSİZ MABLE</t>
        </is>
      </c>
      <c r="X69" s="564" t="n"/>
      <c r="Y69" s="565" t="n"/>
      <c r="Z69" s="411">
        <f>D69+I69+N69+S69</f>
        <v/>
      </c>
      <c r="AA69" s="584" t="n"/>
      <c r="AB69" s="584" t="n"/>
      <c r="AC69" s="598" t="n"/>
    </row>
    <row r="70" ht="75" customHeight="1">
      <c r="A70" s="369" t="inlineStr">
        <is>
          <t>KIRMIZI MEYVALI MABLE</t>
        </is>
      </c>
      <c r="B70" s="564" t="n"/>
      <c r="C70" s="565" t="n"/>
      <c r="D70" s="385" t="n">
        <v>2</v>
      </c>
      <c r="E70" s="565" t="n"/>
      <c r="F70" s="385" t="n"/>
      <c r="G70" s="565" t="n"/>
      <c r="H70" s="129" t="n"/>
      <c r="I70" s="368" t="n"/>
      <c r="J70" s="565" t="n"/>
      <c r="K70" s="368" t="n"/>
      <c r="L70" s="565" t="n"/>
      <c r="M70" s="129" t="n"/>
      <c r="N70" s="368" t="n"/>
      <c r="O70" s="565" t="n"/>
      <c r="P70" s="368" t="n"/>
      <c r="Q70" s="565" t="n"/>
      <c r="R70" s="130" t="n"/>
      <c r="S70" s="368" t="n"/>
      <c r="T70" s="565" t="n"/>
      <c r="U70" s="368" t="n"/>
      <c r="V70" s="565" t="n"/>
      <c r="W70" s="403" t="inlineStr">
        <is>
          <t>KIRMIZI MEYVALI MABLE</t>
        </is>
      </c>
      <c r="X70" s="564" t="n"/>
      <c r="Y70" s="565" t="n"/>
      <c r="Z70" s="411">
        <f>D70+I70+N70+S70</f>
        <v/>
      </c>
      <c r="AA70" s="584" t="n"/>
      <c r="AB70" s="584" t="n"/>
      <c r="AC70" s="598" t="n"/>
    </row>
    <row r="71" ht="26" customHeight="1">
      <c r="A71" s="95" t="n"/>
      <c r="B71" s="96" t="n"/>
      <c r="C71" s="96" t="n"/>
      <c r="D71" s="131" t="n"/>
      <c r="E71" s="131" t="n"/>
      <c r="F71" s="131" t="n"/>
      <c r="G71" s="132" t="n"/>
      <c r="H71" s="129" t="n"/>
      <c r="I71" s="133" t="n"/>
      <c r="J71" s="133" t="n"/>
      <c r="K71" s="133" t="n"/>
      <c r="L71" s="133" t="n"/>
      <c r="M71" s="129" t="n"/>
      <c r="N71" s="133" t="n"/>
      <c r="O71" s="133" t="n"/>
      <c r="P71" s="133" t="n"/>
      <c r="Q71" s="133" t="n"/>
      <c r="R71" s="130" t="n"/>
      <c r="S71" s="134" t="n"/>
      <c r="T71" s="134" t="n"/>
      <c r="U71" s="134" t="n"/>
      <c r="V71" s="134" t="n"/>
      <c r="W71" s="14" t="n"/>
      <c r="X71" s="14" t="n"/>
      <c r="Y71" s="14" t="n"/>
      <c r="Z71" s="14" t="n"/>
      <c r="AA71" s="14" t="n"/>
      <c r="AB71" s="15" t="n"/>
      <c r="AC71" s="16" t="n"/>
    </row>
    <row r="72" ht="75" customHeight="1">
      <c r="A72" s="369" t="inlineStr">
        <is>
          <t>BADEMLİ PORTAKALLI BÜTÜN</t>
        </is>
      </c>
      <c r="B72" s="564" t="n"/>
      <c r="C72" s="565" t="n"/>
      <c r="D72" s="385" t="n">
        <v>1</v>
      </c>
      <c r="E72" s="565" t="n"/>
      <c r="F72" s="385" t="n"/>
      <c r="G72" s="565" t="n"/>
      <c r="H72" s="129" t="n"/>
      <c r="I72" s="368" t="n"/>
      <c r="J72" s="565" t="n"/>
      <c r="K72" s="368" t="n"/>
      <c r="L72" s="565" t="n"/>
      <c r="M72" s="129" t="n"/>
      <c r="N72" s="368" t="n"/>
      <c r="O72" s="565" t="n"/>
      <c r="P72" s="368" t="n"/>
      <c r="Q72" s="565" t="n"/>
      <c r="R72" s="130" t="n"/>
      <c r="S72" s="368" t="n"/>
      <c r="T72" s="565" t="n"/>
      <c r="U72" s="368" t="n"/>
      <c r="V72" s="565" t="n"/>
      <c r="W72" s="19" t="inlineStr">
        <is>
          <t>BADEMLİ PORTAKALLI BÜTÜN</t>
        </is>
      </c>
      <c r="X72" s="19" t="n"/>
      <c r="Y72" s="19" t="n"/>
      <c r="Z72" s="411">
        <f>D72+I72+N72+S72</f>
        <v/>
      </c>
      <c r="AA72" s="584" t="n"/>
      <c r="AB72" s="584" t="n"/>
      <c r="AC72" s="598" t="n"/>
    </row>
    <row r="73" ht="75" customHeight="1">
      <c r="A73" s="369" t="inlineStr">
        <is>
          <t>HAVUÇLU BÜTÜN</t>
        </is>
      </c>
      <c r="B73" s="564" t="n"/>
      <c r="C73" s="565" t="n"/>
      <c r="D73" s="385" t="n">
        <v>1</v>
      </c>
      <c r="E73" s="565" t="n"/>
      <c r="F73" s="385" t="n"/>
      <c r="G73" s="565" t="n"/>
      <c r="H73" s="129" t="n"/>
      <c r="I73" s="368" t="n"/>
      <c r="J73" s="565" t="n"/>
      <c r="K73" s="368" t="n"/>
      <c r="L73" s="565" t="n"/>
      <c r="M73" s="129" t="n"/>
      <c r="N73" s="368" t="n"/>
      <c r="O73" s="565" t="n"/>
      <c r="P73" s="368" t="n"/>
      <c r="Q73" s="565" t="n"/>
      <c r="R73" s="130" t="n"/>
      <c r="S73" s="368" t="n"/>
      <c r="T73" s="565" t="n"/>
      <c r="U73" s="368" t="n"/>
      <c r="V73" s="565" t="n"/>
      <c r="W73" s="403" t="inlineStr">
        <is>
          <t>HAVUÇLU BÜTÜN</t>
        </is>
      </c>
      <c r="X73" s="564" t="n"/>
      <c r="Y73" s="565" t="n"/>
      <c r="Z73" s="411">
        <f>D73+I73+N73+S73</f>
        <v/>
      </c>
      <c r="AA73" s="584" t="n"/>
      <c r="AB73" s="584" t="n"/>
      <c r="AC73" s="598" t="n"/>
    </row>
    <row r="74" ht="75" customHeight="1">
      <c r="A74" s="369" t="inlineStr">
        <is>
          <t>VİŞNELİ BÜTÜN</t>
        </is>
      </c>
      <c r="B74" s="564" t="n"/>
      <c r="C74" s="565" t="n"/>
      <c r="D74" s="385" t="n"/>
      <c r="E74" s="565" t="n"/>
      <c r="F74" s="385" t="n"/>
      <c r="G74" s="565" t="n"/>
      <c r="H74" s="129" t="n"/>
      <c r="I74" s="368" t="n"/>
      <c r="J74" s="565" t="n"/>
      <c r="K74" s="368" t="n"/>
      <c r="L74" s="565" t="n"/>
      <c r="M74" s="129" t="n"/>
      <c r="N74" s="368" t="n"/>
      <c r="O74" s="565" t="n"/>
      <c r="P74" s="368" t="n"/>
      <c r="Q74" s="565" t="n"/>
      <c r="R74" s="130" t="n"/>
      <c r="S74" s="368" t="n"/>
      <c r="T74" s="565" t="n"/>
      <c r="U74" s="368" t="n"/>
      <c r="V74" s="565" t="n"/>
      <c r="W74" s="403" t="inlineStr">
        <is>
          <t>VİŞNELİ BÜTÜN</t>
        </is>
      </c>
      <c r="X74" s="564" t="n"/>
      <c r="Y74" s="565" t="n"/>
      <c r="Z74" s="411">
        <f>D74+I74+N74+S74</f>
        <v/>
      </c>
      <c r="AA74" s="584" t="n"/>
      <c r="AB74" s="584" t="n"/>
      <c r="AC74" s="598" t="n"/>
    </row>
    <row r="75" ht="75" customHeight="1">
      <c r="A75" s="369" t="inlineStr">
        <is>
          <t>FRANSIZ ÇİKOLATALI BÜTÜN</t>
        </is>
      </c>
      <c r="B75" s="564" t="n"/>
      <c r="C75" s="565" t="n"/>
      <c r="D75" s="385" t="n"/>
      <c r="E75" s="565" t="n"/>
      <c r="F75" s="385" t="n"/>
      <c r="G75" s="565" t="n"/>
      <c r="H75" s="129" t="n"/>
      <c r="I75" s="368" t="n"/>
      <c r="J75" s="565" t="n"/>
      <c r="K75" s="368" t="n"/>
      <c r="L75" s="565" t="n"/>
      <c r="M75" s="129" t="n"/>
      <c r="N75" s="368" t="n"/>
      <c r="O75" s="565" t="n"/>
      <c r="P75" s="368" t="n"/>
      <c r="Q75" s="565" t="n"/>
      <c r="R75" s="130" t="n"/>
      <c r="S75" s="368" t="n"/>
      <c r="T75" s="565" t="n"/>
      <c r="U75" s="368" t="n"/>
      <c r="V75" s="565" t="n"/>
      <c r="W75" s="403" t="inlineStr">
        <is>
          <t>FRANSIZ ÇİKOLATALI BÜTÜN</t>
        </is>
      </c>
      <c r="X75" s="564" t="n"/>
      <c r="Y75" s="565" t="n"/>
      <c r="Z75" s="411">
        <f>D75+I75+N75+S75</f>
        <v/>
      </c>
      <c r="AA75" s="584" t="n"/>
      <c r="AB75" s="584" t="n"/>
      <c r="AC75" s="598" t="n"/>
    </row>
    <row r="76" ht="24" customHeight="1">
      <c r="A76" s="95" t="n"/>
      <c r="B76" s="96" t="n"/>
      <c r="C76" s="96" t="n"/>
      <c r="D76" s="131" t="n"/>
      <c r="E76" s="131" t="n"/>
      <c r="F76" s="131" t="n"/>
      <c r="G76" s="132" t="n"/>
      <c r="H76" s="129" t="n"/>
      <c r="I76" s="133" t="n"/>
      <c r="J76" s="133" t="n"/>
      <c r="K76" s="133" t="n"/>
      <c r="L76" s="133" t="n"/>
      <c r="M76" s="129" t="n"/>
      <c r="N76" s="133" t="n"/>
      <c r="O76" s="133" t="n"/>
      <c r="P76" s="133" t="n"/>
      <c r="Q76" s="133" t="n"/>
      <c r="R76" s="130" t="n"/>
      <c r="S76" s="134" t="n"/>
      <c r="T76" s="134" t="n"/>
      <c r="U76" s="134" t="n"/>
      <c r="V76" s="134" t="n"/>
      <c r="W76" s="14" t="n"/>
      <c r="X76" s="14" t="n"/>
      <c r="Y76" s="14" t="n"/>
      <c r="Z76" s="14" t="n"/>
      <c r="AA76" s="14" t="n"/>
      <c r="AB76" s="15" t="n"/>
      <c r="AC76" s="16" t="n"/>
    </row>
    <row r="77" ht="75" customHeight="1">
      <c r="A77" s="369" t="inlineStr">
        <is>
          <t>ÇİKOLATALI MUFFİN</t>
        </is>
      </c>
      <c r="B77" s="564" t="n"/>
      <c r="C77" s="565" t="n"/>
      <c r="D77" s="385" t="n">
        <v>8</v>
      </c>
      <c r="E77" s="565" t="n"/>
      <c r="F77" s="385" t="n"/>
      <c r="G77" s="565" t="n"/>
      <c r="H77" s="129" t="n"/>
      <c r="I77" s="368" t="n"/>
      <c r="J77" s="565" t="n"/>
      <c r="K77" s="368" t="n"/>
      <c r="L77" s="565" t="n"/>
      <c r="M77" s="129" t="n"/>
      <c r="N77" s="368" t="n"/>
      <c r="O77" s="565" t="n"/>
      <c r="P77" s="368" t="n"/>
      <c r="Q77" s="565" t="n"/>
      <c r="R77" s="130" t="n"/>
      <c r="S77" s="368" t="n"/>
      <c r="T77" s="565" t="n"/>
      <c r="U77" s="368" t="n"/>
      <c r="V77" s="565" t="n"/>
      <c r="W77" s="403" t="inlineStr">
        <is>
          <t>ÇİKOLATALI MUFFİN</t>
        </is>
      </c>
      <c r="X77" s="564" t="n"/>
      <c r="Y77" s="565" t="n"/>
      <c r="Z77" s="411">
        <f>D77+I78+N77+S77</f>
        <v/>
      </c>
      <c r="AA77" s="584" t="n"/>
      <c r="AB77" s="584" t="n"/>
      <c r="AC77" s="598" t="n"/>
    </row>
    <row r="78" ht="75" customHeight="1">
      <c r="A78" s="369" t="inlineStr">
        <is>
          <t>HAVUÇLI MUFFİN</t>
        </is>
      </c>
      <c r="B78" s="564" t="n"/>
      <c r="C78" s="565" t="n"/>
      <c r="D78" s="385" t="n">
        <v>3</v>
      </c>
      <c r="E78" s="565" t="n"/>
      <c r="F78" s="385" t="n"/>
      <c r="G78" s="565" t="n"/>
      <c r="H78" s="129" t="n"/>
      <c r="I78" s="368" t="n"/>
      <c r="J78" s="565" t="n"/>
      <c r="K78" s="368" t="n"/>
      <c r="L78" s="565" t="n"/>
      <c r="M78" s="129" t="n"/>
      <c r="N78" s="368" t="n"/>
      <c r="O78" s="565" t="n"/>
      <c r="P78" s="368" t="n"/>
      <c r="Q78" s="565" t="n"/>
      <c r="R78" s="130" t="n"/>
      <c r="S78" s="368" t="n"/>
      <c r="T78" s="565" t="n"/>
      <c r="U78" s="368" t="n"/>
      <c r="V78" s="565" t="n"/>
      <c r="W78" s="403" t="inlineStr">
        <is>
          <t>HAVUÇLI MUFFİN</t>
        </is>
      </c>
      <c r="X78" s="564" t="n"/>
      <c r="Y78" s="565" t="n"/>
      <c r="Z78" s="411">
        <f>D78+I78+N78+S78</f>
        <v/>
      </c>
      <c r="AA78" s="584" t="n"/>
      <c r="AB78" s="584" t="n"/>
      <c r="AC78" s="598" t="n"/>
    </row>
    <row r="79" ht="75" customHeight="1">
      <c r="A79" s="369" t="inlineStr">
        <is>
          <t>böğürtlenli MUFFİN</t>
        </is>
      </c>
      <c r="B79" s="564" t="n"/>
      <c r="C79" s="565" t="n"/>
      <c r="D79" s="385" t="n">
        <v>2</v>
      </c>
      <c r="E79" s="565" t="n"/>
      <c r="F79" s="385" t="n"/>
      <c r="G79" s="565" t="n"/>
      <c r="H79" s="129" t="n"/>
      <c r="I79" s="368" t="n"/>
      <c r="J79" s="565" t="n"/>
      <c r="K79" s="368" t="n"/>
      <c r="L79" s="565" t="n"/>
      <c r="M79" s="129" t="n"/>
      <c r="N79" s="368" t="n"/>
      <c r="O79" s="565" t="n"/>
      <c r="P79" s="368" t="n"/>
      <c r="Q79" s="565" t="n"/>
      <c r="R79" s="130" t="n"/>
      <c r="S79" s="368" t="n"/>
      <c r="T79" s="565" t="n"/>
      <c r="U79" s="368" t="n"/>
      <c r="V79" s="565" t="n"/>
      <c r="W79" s="403" t="inlineStr">
        <is>
          <t>FRAMBUAZLI MUFFİN</t>
        </is>
      </c>
      <c r="X79" s="564" t="n"/>
      <c r="Y79" s="565" t="n"/>
      <c r="Z79" s="411">
        <f>D79+I79+N79+S79</f>
        <v/>
      </c>
      <c r="AA79" s="584" t="n"/>
      <c r="AB79" s="584" t="n"/>
      <c r="AC79" s="598" t="n"/>
    </row>
    <row r="80" ht="75" customHeight="1">
      <c r="A80" s="379" t="inlineStr">
        <is>
          <t>LİMONLU MUFFİN</t>
        </is>
      </c>
      <c r="B80" s="567" t="n"/>
      <c r="C80" s="568" t="n"/>
      <c r="D80" s="385" t="n">
        <v>2</v>
      </c>
      <c r="E80" s="565" t="n"/>
      <c r="F80" s="385" t="n"/>
      <c r="G80" s="565" t="n"/>
      <c r="H80" s="129" t="n"/>
      <c r="I80" s="368" t="n"/>
      <c r="J80" s="565" t="n"/>
      <c r="K80" s="368" t="n"/>
      <c r="L80" s="565" t="n"/>
      <c r="M80" s="129" t="n"/>
      <c r="N80" s="368" t="n"/>
      <c r="O80" s="565" t="n"/>
      <c r="P80" s="368" t="n"/>
      <c r="Q80" s="565" t="n"/>
      <c r="R80" s="130" t="n"/>
      <c r="S80" s="368" t="n"/>
      <c r="T80" s="565" t="n"/>
      <c r="U80" s="368" t="n"/>
      <c r="V80" s="565" t="n"/>
      <c r="W80" s="403" t="inlineStr">
        <is>
          <t>LİMONLU MUFFİN</t>
        </is>
      </c>
      <c r="X80" s="564" t="n"/>
      <c r="Y80" s="565" t="n"/>
      <c r="Z80" s="411">
        <f>D80+I80+N80+S80</f>
        <v/>
      </c>
      <c r="AA80" s="584" t="n"/>
      <c r="AB80" s="584" t="n"/>
      <c r="AC80" s="598" t="n"/>
    </row>
    <row r="81" ht="27" customHeight="1">
      <c r="A81" s="95" t="n"/>
      <c r="B81" s="96" t="n"/>
      <c r="C81" s="96" t="n"/>
      <c r="D81" s="131" t="n"/>
      <c r="E81" s="131" t="n"/>
      <c r="F81" s="131" t="n"/>
      <c r="G81" s="132" t="n"/>
      <c r="H81" s="129" t="n"/>
      <c r="I81" s="133" t="n"/>
      <c r="J81" s="133" t="n"/>
      <c r="K81" s="133" t="n"/>
      <c r="L81" s="133" t="n"/>
      <c r="M81" s="129" t="n"/>
      <c r="N81" s="133" t="n"/>
      <c r="O81" s="133" t="n"/>
      <c r="P81" s="133" t="n"/>
      <c r="Q81" s="133" t="n"/>
      <c r="R81" s="130" t="n"/>
      <c r="S81" s="134" t="n"/>
      <c r="T81" s="134" t="n"/>
      <c r="U81" s="134" t="n"/>
      <c r="V81" s="134" t="n"/>
      <c r="W81" s="14" t="n"/>
      <c r="X81" s="14" t="n"/>
      <c r="Y81" s="14" t="n"/>
      <c r="Z81" s="14" t="n"/>
      <c r="AA81" s="14" t="n"/>
      <c r="AB81" s="15" t="n"/>
      <c r="AC81" s="16" t="n"/>
    </row>
    <row r="82" ht="75" customHeight="1">
      <c r="A82" s="379" t="inlineStr">
        <is>
          <t>ŞEKİLLİ KURABİYE</t>
        </is>
      </c>
      <c r="B82" s="567" t="n"/>
      <c r="C82" s="568" t="n"/>
      <c r="D82" s="385" t="n"/>
      <c r="E82" s="565" t="n"/>
      <c r="F82" s="385" t="n"/>
      <c r="G82" s="565" t="n"/>
      <c r="H82" s="129" t="n"/>
      <c r="I82" s="368" t="n"/>
      <c r="J82" s="565" t="n"/>
      <c r="K82" s="368" t="n"/>
      <c r="L82" s="565" t="n"/>
      <c r="M82" s="129" t="n"/>
      <c r="N82" s="368" t="n"/>
      <c r="O82" s="565" t="n"/>
      <c r="P82" s="368" t="n"/>
      <c r="Q82" s="565" t="n"/>
      <c r="R82" s="130" t="n"/>
      <c r="S82" s="368" t="n"/>
      <c r="T82" s="565" t="n"/>
      <c r="U82" s="368" t="n"/>
      <c r="V82" s="565" t="n"/>
      <c r="W82" s="403" t="inlineStr">
        <is>
          <t>ŞEKİLLİ KURABİYE</t>
        </is>
      </c>
      <c r="X82" s="564" t="n"/>
      <c r="Y82" s="565" t="n"/>
      <c r="Z82" s="411">
        <f>D82+I82+N82+S82</f>
        <v/>
      </c>
      <c r="AA82" s="584" t="n"/>
      <c r="AB82" s="584" t="n"/>
      <c r="AC82" s="598" t="n"/>
    </row>
    <row r="83" ht="29.5" customHeight="1"/>
  </sheetData>
  <autoFilter ref="A5:AC5">
    <filterColumn colId="0" hiddenButton="0" showButton="0"/>
    <filterColumn colId="1" hiddenButton="0" showButton="0"/>
    <filterColumn colId="3" hiddenButton="0" showButton="0"/>
    <filterColumn colId="5" hiddenButton="0" showButton="0"/>
    <filterColumn colId="8" hiddenButton="0" showButton="0"/>
    <filterColumn colId="10" hiddenButton="0" showButton="0"/>
    <filterColumn colId="13" hiddenButton="0" showButton="0"/>
    <filterColumn colId="15" hiddenButton="0" showButton="0"/>
    <filterColumn colId="18" hiddenButton="0" showButton="0"/>
    <filterColumn colId="20" hiddenButton="0" showButton="0"/>
    <filterColumn colId="22" hiddenButton="0" showButton="0"/>
    <filterColumn colId="23" hiddenButton="0" showButton="0"/>
    <filterColumn colId="25" hiddenButton="0" showButton="0"/>
    <filterColumn colId="26" hiddenButton="0" showButton="0"/>
    <filterColumn colId="27" hiddenButton="0" showButton="0"/>
  </autoFilter>
  <mergeCells count="799">
    <mergeCell ref="D60:E60"/>
    <mergeCell ref="W47:Y47"/>
    <mergeCell ref="S72:T72"/>
    <mergeCell ref="F16:G16"/>
    <mergeCell ref="K33:L33"/>
    <mergeCell ref="A21:C21"/>
    <mergeCell ref="U65:V65"/>
    <mergeCell ref="P69:Q69"/>
    <mergeCell ref="A57:C57"/>
    <mergeCell ref="W7:Y7"/>
    <mergeCell ref="D45:E45"/>
    <mergeCell ref="K35:L35"/>
    <mergeCell ref="Z9:AC9"/>
    <mergeCell ref="N77:O77"/>
    <mergeCell ref="S7:T7"/>
    <mergeCell ref="P6:Q6"/>
    <mergeCell ref="A23:C23"/>
    <mergeCell ref="W58:Y58"/>
    <mergeCell ref="I66:J66"/>
    <mergeCell ref="D70:E70"/>
    <mergeCell ref="F70:G70"/>
    <mergeCell ref="Z11:AC11"/>
    <mergeCell ref="W8:Y8"/>
    <mergeCell ref="A52:C52"/>
    <mergeCell ref="W73:Y73"/>
    <mergeCell ref="D7:E7"/>
    <mergeCell ref="W60:Y60"/>
    <mergeCell ref="N29:O29"/>
    <mergeCell ref="D78:E78"/>
    <mergeCell ref="S19:T19"/>
    <mergeCell ref="Z75:AC75"/>
    <mergeCell ref="F23:G23"/>
    <mergeCell ref="W53:Y53"/>
    <mergeCell ref="A34:C34"/>
    <mergeCell ref="N31:O31"/>
    <mergeCell ref="W68:Y68"/>
    <mergeCell ref="A49:C49"/>
    <mergeCell ref="Z52:AC52"/>
    <mergeCell ref="S20:T20"/>
    <mergeCell ref="N24:O24"/>
    <mergeCell ref="D73:E73"/>
    <mergeCell ref="Z39:AC39"/>
    <mergeCell ref="U20:V20"/>
    <mergeCell ref="P24:Q24"/>
    <mergeCell ref="U14:V14"/>
    <mergeCell ref="S60:T60"/>
    <mergeCell ref="U60:V60"/>
    <mergeCell ref="S22:T22"/>
    <mergeCell ref="N26:O26"/>
    <mergeCell ref="I30:J30"/>
    <mergeCell ref="U22:V22"/>
    <mergeCell ref="U78:V78"/>
    <mergeCell ref="P26:Q26"/>
    <mergeCell ref="K30:L30"/>
    <mergeCell ref="I46:J46"/>
    <mergeCell ref="A55:C55"/>
    <mergeCell ref="U80:V80"/>
    <mergeCell ref="I61:J61"/>
    <mergeCell ref="W59:Y59"/>
    <mergeCell ref="W46:Y46"/>
    <mergeCell ref="W21:Y21"/>
    <mergeCell ref="N36:O36"/>
    <mergeCell ref="I54:J54"/>
    <mergeCell ref="Z65:AC65"/>
    <mergeCell ref="I41:J41"/>
    <mergeCell ref="F18:G18"/>
    <mergeCell ref="S38:T38"/>
    <mergeCell ref="W61:Y61"/>
    <mergeCell ref="N42:O42"/>
    <mergeCell ref="K41:L41"/>
    <mergeCell ref="F45:G45"/>
    <mergeCell ref="F42:G42"/>
    <mergeCell ref="A29:C29"/>
    <mergeCell ref="W48:Y48"/>
    <mergeCell ref="S13:T13"/>
    <mergeCell ref="D66:E66"/>
    <mergeCell ref="U13:V13"/>
    <mergeCell ref="N52:O52"/>
    <mergeCell ref="P77:Q77"/>
    <mergeCell ref="U7:V7"/>
    <mergeCell ref="I56:J56"/>
    <mergeCell ref="K56:L56"/>
    <mergeCell ref="F66:G66"/>
    <mergeCell ref="D53:E53"/>
    <mergeCell ref="D47:E47"/>
    <mergeCell ref="S40:T40"/>
    <mergeCell ref="N44:O44"/>
    <mergeCell ref="F47:G47"/>
    <mergeCell ref="A44:C44"/>
    <mergeCell ref="I43:J43"/>
    <mergeCell ref="K43:L43"/>
    <mergeCell ref="A31:C31"/>
    <mergeCell ref="S15:T15"/>
    <mergeCell ref="A58:C58"/>
    <mergeCell ref="F46:G46"/>
    <mergeCell ref="S33:T33"/>
    <mergeCell ref="U58:V58"/>
    <mergeCell ref="P37:Q37"/>
    <mergeCell ref="A73:C73"/>
    <mergeCell ref="A24:C24"/>
    <mergeCell ref="U8:V8"/>
    <mergeCell ref="F61:G61"/>
    <mergeCell ref="W10:Y10"/>
    <mergeCell ref="A60:C60"/>
    <mergeCell ref="U73:V73"/>
    <mergeCell ref="F48:G48"/>
    <mergeCell ref="D15:E15"/>
    <mergeCell ref="Z12:AC12"/>
    <mergeCell ref="I59:J59"/>
    <mergeCell ref="W74:Y74"/>
    <mergeCell ref="U10:V10"/>
    <mergeCell ref="P14:Q14"/>
    <mergeCell ref="D79:E79"/>
    <mergeCell ref="I9:J9"/>
    <mergeCell ref="N70:O70"/>
    <mergeCell ref="Z14:AC14"/>
    <mergeCell ref="F73:G73"/>
    <mergeCell ref="K25:L25"/>
    <mergeCell ref="N32:O32"/>
    <mergeCell ref="I11:J11"/>
    <mergeCell ref="Z78:AC78"/>
    <mergeCell ref="K54:L54"/>
    <mergeCell ref="A42:C42"/>
    <mergeCell ref="K29:L29"/>
    <mergeCell ref="Z80:AC80"/>
    <mergeCell ref="Z55:AC55"/>
    <mergeCell ref="K44:L44"/>
    <mergeCell ref="P27:Q27"/>
    <mergeCell ref="K31:L31"/>
    <mergeCell ref="W29:Y29"/>
    <mergeCell ref="U21:V21"/>
    <mergeCell ref="W23:Y23"/>
    <mergeCell ref="I62:J62"/>
    <mergeCell ref="Z25:AC25"/>
    <mergeCell ref="N60:O60"/>
    <mergeCell ref="I64:J64"/>
    <mergeCell ref="W6:Y6"/>
    <mergeCell ref="I51:J51"/>
    <mergeCell ref="D55:E55"/>
    <mergeCell ref="Z58:AC58"/>
    <mergeCell ref="D30:E30"/>
    <mergeCell ref="A79:C79"/>
    <mergeCell ref="D67:E67"/>
    <mergeCell ref="D5:E5"/>
    <mergeCell ref="Z8:AC8"/>
    <mergeCell ref="A70:C70"/>
    <mergeCell ref="S54:T54"/>
    <mergeCell ref="K57:L57"/>
    <mergeCell ref="Z73:AC73"/>
    <mergeCell ref="S41:T41"/>
    <mergeCell ref="W64:Y64"/>
    <mergeCell ref="N45:O45"/>
    <mergeCell ref="P45:Q45"/>
    <mergeCell ref="U35:V35"/>
    <mergeCell ref="W51:Y51"/>
    <mergeCell ref="I65:J65"/>
    <mergeCell ref="D69:E69"/>
    <mergeCell ref="F69:G69"/>
    <mergeCell ref="S56:T56"/>
    <mergeCell ref="P38:Q38"/>
    <mergeCell ref="S43:T43"/>
    <mergeCell ref="N47:O47"/>
    <mergeCell ref="A74:C74"/>
    <mergeCell ref="Z20:AC20"/>
    <mergeCell ref="U74:V74"/>
    <mergeCell ref="P40:Q40"/>
    <mergeCell ref="D21:E21"/>
    <mergeCell ref="F51:G51"/>
    <mergeCell ref="W42:Y42"/>
    <mergeCell ref="I75:J75"/>
    <mergeCell ref="K75:L75"/>
    <mergeCell ref="W17:Y17"/>
    <mergeCell ref="W77:Y77"/>
    <mergeCell ref="W11:Y11"/>
    <mergeCell ref="I12:J12"/>
    <mergeCell ref="D16:E16"/>
    <mergeCell ref="S34:T34"/>
    <mergeCell ref="K12:L12"/>
    <mergeCell ref="N73:O73"/>
    <mergeCell ref="F38:G38"/>
    <mergeCell ref="W19:Y19"/>
    <mergeCell ref="I39:J39"/>
    <mergeCell ref="I14:J14"/>
    <mergeCell ref="D18:E18"/>
    <mergeCell ref="S36:T36"/>
    <mergeCell ref="K14:L14"/>
    <mergeCell ref="K70:L70"/>
    <mergeCell ref="K39:L39"/>
    <mergeCell ref="F67:G67"/>
    <mergeCell ref="U54:V54"/>
    <mergeCell ref="A45:C45"/>
    <mergeCell ref="S29:T29"/>
    <mergeCell ref="I78:J78"/>
    <mergeCell ref="D82:E82"/>
    <mergeCell ref="U29:V29"/>
    <mergeCell ref="F82:G82"/>
    <mergeCell ref="U23:V23"/>
    <mergeCell ref="S44:T44"/>
    <mergeCell ref="Z33:AC33"/>
    <mergeCell ref="S31:T31"/>
    <mergeCell ref="U31:V31"/>
    <mergeCell ref="F29:G29"/>
    <mergeCell ref="A46:C46"/>
    <mergeCell ref="Z35:AC35"/>
    <mergeCell ref="W32:Y32"/>
    <mergeCell ref="S62:T62"/>
    <mergeCell ref="Z10:AC10"/>
    <mergeCell ref="N66:O66"/>
    <mergeCell ref="D31:E31"/>
    <mergeCell ref="N53:O53"/>
    <mergeCell ref="A26:C26"/>
    <mergeCell ref="D6:E6"/>
    <mergeCell ref="D77:E77"/>
    <mergeCell ref="Z74:AC74"/>
    <mergeCell ref="N68:O68"/>
    <mergeCell ref="P59:Q59"/>
    <mergeCell ref="N46:O46"/>
    <mergeCell ref="I25:J25"/>
    <mergeCell ref="P46:Q46"/>
    <mergeCell ref="N5:O5"/>
    <mergeCell ref="S57:T57"/>
    <mergeCell ref="N61:O61"/>
    <mergeCell ref="U57:V57"/>
    <mergeCell ref="P61:Q61"/>
    <mergeCell ref="I58:J58"/>
    <mergeCell ref="N48:O48"/>
    <mergeCell ref="K58:L58"/>
    <mergeCell ref="S49:T49"/>
    <mergeCell ref="P48:Q48"/>
    <mergeCell ref="K52:L52"/>
    <mergeCell ref="D72:E72"/>
    <mergeCell ref="F72:G72"/>
    <mergeCell ref="U42:V42"/>
    <mergeCell ref="A77:C77"/>
    <mergeCell ref="W44:Y44"/>
    <mergeCell ref="S9:T9"/>
    <mergeCell ref="K53:L53"/>
    <mergeCell ref="P43:Q43"/>
    <mergeCell ref="I20:J20"/>
    <mergeCell ref="D24:E24"/>
    <mergeCell ref="Z21:AC21"/>
    <mergeCell ref="A6:C6"/>
    <mergeCell ref="I13:J13"/>
    <mergeCell ref="K13:L13"/>
    <mergeCell ref="D26:E26"/>
    <mergeCell ref="Z29:AC29"/>
    <mergeCell ref="S75:T75"/>
    <mergeCell ref="Z23:AC23"/>
    <mergeCell ref="W20:Y20"/>
    <mergeCell ref="K78:L78"/>
    <mergeCell ref="A66:C66"/>
    <mergeCell ref="F54:G54"/>
    <mergeCell ref="I15:J15"/>
    <mergeCell ref="D19:E19"/>
    <mergeCell ref="S12:T12"/>
    <mergeCell ref="N16:O16"/>
    <mergeCell ref="I80:J80"/>
    <mergeCell ref="K15:L15"/>
    <mergeCell ref="F19:G19"/>
    <mergeCell ref="K80:L80"/>
    <mergeCell ref="F6:G6"/>
    <mergeCell ref="W22:Y22"/>
    <mergeCell ref="N51:O51"/>
    <mergeCell ref="S52:T52"/>
    <mergeCell ref="K55:L55"/>
    <mergeCell ref="P34:Q34"/>
    <mergeCell ref="Z24:AC24"/>
    <mergeCell ref="S39:T39"/>
    <mergeCell ref="S70:T70"/>
    <mergeCell ref="P9:Q9"/>
    <mergeCell ref="K79:L79"/>
    <mergeCell ref="U70:V70"/>
    <mergeCell ref="A5:C5"/>
    <mergeCell ref="A32:C32"/>
    <mergeCell ref="F20:G20"/>
    <mergeCell ref="W9:Y9"/>
    <mergeCell ref="P36:Q36"/>
    <mergeCell ref="P11:Q11"/>
    <mergeCell ref="U32:V32"/>
    <mergeCell ref="Z49:AC49"/>
    <mergeCell ref="U47:V47"/>
    <mergeCell ref="W38:Y38"/>
    <mergeCell ref="N67:O67"/>
    <mergeCell ref="Z57:AC57"/>
    <mergeCell ref="I33:J33"/>
    <mergeCell ref="D37:E37"/>
    <mergeCell ref="I8:J8"/>
    <mergeCell ref="W40:Y40"/>
    <mergeCell ref="D9:E9"/>
    <mergeCell ref="S65:T65"/>
    <mergeCell ref="N69:O69"/>
    <mergeCell ref="F9:G9"/>
    <mergeCell ref="I35:J35"/>
    <mergeCell ref="W33:Y33"/>
    <mergeCell ref="N6:O6"/>
    <mergeCell ref="I10:J10"/>
    <mergeCell ref="K10:L10"/>
    <mergeCell ref="S63:T63"/>
    <mergeCell ref="P62:Q62"/>
    <mergeCell ref="K66:L66"/>
    <mergeCell ref="U63:V63"/>
    <mergeCell ref="D38:E38"/>
    <mergeCell ref="U44:V44"/>
    <mergeCell ref="W35:Y35"/>
    <mergeCell ref="I74:J74"/>
    <mergeCell ref="A16:C16"/>
    <mergeCell ref="K74:L74"/>
    <mergeCell ref="P64:Q64"/>
    <mergeCell ref="K68:L68"/>
    <mergeCell ref="P51:Q51"/>
    <mergeCell ref="D63:E63"/>
    <mergeCell ref="A18:C18"/>
    <mergeCell ref="K5:L5"/>
    <mergeCell ref="W66:Y66"/>
    <mergeCell ref="U45:V45"/>
    <mergeCell ref="Z31:AC31"/>
    <mergeCell ref="D52:E52"/>
    <mergeCell ref="A47:C47"/>
    <mergeCell ref="D27:E27"/>
    <mergeCell ref="A22:C22"/>
    <mergeCell ref="S14:T14"/>
    <mergeCell ref="N18:O18"/>
    <mergeCell ref="P67:Q67"/>
    <mergeCell ref="N17:O17"/>
    <mergeCell ref="I21:J21"/>
    <mergeCell ref="Z32:AC32"/>
    <mergeCell ref="P17:Q17"/>
    <mergeCell ref="N82:O82"/>
    <mergeCell ref="Z26:AC26"/>
    <mergeCell ref="S78:T78"/>
    <mergeCell ref="P82:Q82"/>
    <mergeCell ref="K8:L8"/>
    <mergeCell ref="S53:T53"/>
    <mergeCell ref="N19:O19"/>
    <mergeCell ref="I23:J23"/>
    <mergeCell ref="F22:G22"/>
    <mergeCell ref="P19:Q19"/>
    <mergeCell ref="P75:Q75"/>
    <mergeCell ref="S80:T80"/>
    <mergeCell ref="K23:L23"/>
    <mergeCell ref="S55:T55"/>
    <mergeCell ref="U55:V55"/>
    <mergeCell ref="P12:Q12"/>
    <mergeCell ref="Z42:AC42"/>
    <mergeCell ref="K18:L18"/>
    <mergeCell ref="I34:J34"/>
    <mergeCell ref="F11:G11"/>
    <mergeCell ref="K34:L34"/>
    <mergeCell ref="W54:Y54"/>
    <mergeCell ref="S25:T25"/>
    <mergeCell ref="Z44:AC44"/>
    <mergeCell ref="W41:Y41"/>
    <mergeCell ref="I49:J49"/>
    <mergeCell ref="Z60:AC60"/>
    <mergeCell ref="D46:E46"/>
    <mergeCell ref="D40:E40"/>
    <mergeCell ref="I36:J36"/>
    <mergeCell ref="S58:T58"/>
    <mergeCell ref="N37:O37"/>
    <mergeCell ref="W56:Y56"/>
    <mergeCell ref="F40:G40"/>
    <mergeCell ref="K36:L36"/>
    <mergeCell ref="W43:Y43"/>
    <mergeCell ref="S8:T8"/>
    <mergeCell ref="N72:O72"/>
    <mergeCell ref="F12:G12"/>
    <mergeCell ref="P72:Q72"/>
    <mergeCell ref="Z45:AC45"/>
    <mergeCell ref="A17:C17"/>
    <mergeCell ref="S66:T66"/>
    <mergeCell ref="P65:Q65"/>
    <mergeCell ref="A53:C53"/>
    <mergeCell ref="U66:V66"/>
    <mergeCell ref="D41:E41"/>
    <mergeCell ref="F41:G41"/>
    <mergeCell ref="F35:G35"/>
    <mergeCell ref="U53:V53"/>
    <mergeCell ref="A68:C68"/>
    <mergeCell ref="A19:C19"/>
    <mergeCell ref="Z70:AC70"/>
    <mergeCell ref="W67:Y67"/>
    <mergeCell ref="P7:Q7"/>
    <mergeCell ref="S68:T68"/>
    <mergeCell ref="K77:L77"/>
    <mergeCell ref="D43:E43"/>
    <mergeCell ref="U68:V68"/>
    <mergeCell ref="Z7:AC7"/>
    <mergeCell ref="A48:C48"/>
    <mergeCell ref="W69:Y69"/>
    <mergeCell ref="W25:Y25"/>
    <mergeCell ref="Z47:AC47"/>
    <mergeCell ref="I29:J29"/>
    <mergeCell ref="D74:E74"/>
    <mergeCell ref="D68:E68"/>
    <mergeCell ref="N27:O27"/>
    <mergeCell ref="S79:T79"/>
    <mergeCell ref="I31:J31"/>
    <mergeCell ref="U79:V79"/>
    <mergeCell ref="D59:E59"/>
    <mergeCell ref="K49:L49"/>
    <mergeCell ref="Z48:AC48"/>
    <mergeCell ref="N20:O20"/>
    <mergeCell ref="A37:C37"/>
    <mergeCell ref="S21:T21"/>
    <mergeCell ref="P20:Q20"/>
    <mergeCell ref="K24:L24"/>
    <mergeCell ref="F25:G25"/>
    <mergeCell ref="D36:E36"/>
    <mergeCell ref="N22:O22"/>
    <mergeCell ref="I26:J26"/>
    <mergeCell ref="P22:Q22"/>
    <mergeCell ref="W16:Y16"/>
    <mergeCell ref="K26:L26"/>
    <mergeCell ref="U16:V16"/>
    <mergeCell ref="P80:Q80"/>
    <mergeCell ref="W18:Y18"/>
    <mergeCell ref="D61:E61"/>
    <mergeCell ref="D48:E48"/>
    <mergeCell ref="A43:C43"/>
    <mergeCell ref="W82:Y82"/>
    <mergeCell ref="A63:C63"/>
    <mergeCell ref="S10:T10"/>
    <mergeCell ref="Z66:AC66"/>
    <mergeCell ref="N38:O38"/>
    <mergeCell ref="W57:Y57"/>
    <mergeCell ref="I42:J42"/>
    <mergeCell ref="Z53:AC53"/>
    <mergeCell ref="K42:L42"/>
    <mergeCell ref="D62:E62"/>
    <mergeCell ref="P13:Q13"/>
    <mergeCell ref="I52:J52"/>
    <mergeCell ref="S74:T74"/>
    <mergeCell ref="D56:E56"/>
    <mergeCell ref="F56:G56"/>
    <mergeCell ref="F13:G13"/>
    <mergeCell ref="N40:O40"/>
    <mergeCell ref="F43:G43"/>
    <mergeCell ref="I44:J44"/>
    <mergeCell ref="S30:T30"/>
    <mergeCell ref="N15:O15"/>
    <mergeCell ref="D64:E64"/>
    <mergeCell ref="S5:T5"/>
    <mergeCell ref="U67:V67"/>
    <mergeCell ref="P15:Q15"/>
    <mergeCell ref="U5:V5"/>
    <mergeCell ref="D51:E51"/>
    <mergeCell ref="P58:Q58"/>
    <mergeCell ref="P33:Q33"/>
    <mergeCell ref="K37:L37"/>
    <mergeCell ref="A69:C69"/>
    <mergeCell ref="N79:O79"/>
    <mergeCell ref="F57:G57"/>
    <mergeCell ref="P79:Q79"/>
    <mergeCell ref="U69:V69"/>
    <mergeCell ref="P73:Q73"/>
    <mergeCell ref="N35:O35"/>
    <mergeCell ref="P35:Q35"/>
    <mergeCell ref="Z79:AC79"/>
    <mergeCell ref="U6:V6"/>
    <mergeCell ref="P10:Q10"/>
    <mergeCell ref="W75:Y75"/>
    <mergeCell ref="I70:J70"/>
    <mergeCell ref="K21:L21"/>
    <mergeCell ref="W12:Y12"/>
    <mergeCell ref="I57:J57"/>
    <mergeCell ref="I32:J32"/>
    <mergeCell ref="I7:J7"/>
    <mergeCell ref="D11:E11"/>
    <mergeCell ref="K32:L32"/>
    <mergeCell ref="K63:L63"/>
    <mergeCell ref="S23:T23"/>
    <mergeCell ref="F33:G33"/>
    <mergeCell ref="W70:Y70"/>
    <mergeCell ref="A38:C38"/>
    <mergeCell ref="D75:E75"/>
    <mergeCell ref="F75:G75"/>
    <mergeCell ref="A13:C13"/>
    <mergeCell ref="F62:G62"/>
    <mergeCell ref="A40:C40"/>
    <mergeCell ref="S24:T24"/>
    <mergeCell ref="K27:L27"/>
    <mergeCell ref="A67:C67"/>
    <mergeCell ref="U24:V24"/>
    <mergeCell ref="F31:G31"/>
    <mergeCell ref="U18:V18"/>
    <mergeCell ref="A15:C15"/>
    <mergeCell ref="A51:C51"/>
    <mergeCell ref="D39:E39"/>
    <mergeCell ref="A82:C82"/>
    <mergeCell ref="F39:G39"/>
    <mergeCell ref="N30:O30"/>
    <mergeCell ref="P30:Q30"/>
    <mergeCell ref="U82:V82"/>
    <mergeCell ref="Z68:AC68"/>
    <mergeCell ref="W65:Y65"/>
    <mergeCell ref="U19:V19"/>
    <mergeCell ref="I60:J60"/>
    <mergeCell ref="Z67:AC67"/>
    <mergeCell ref="F64:G64"/>
    <mergeCell ref="Z5:AC5"/>
    <mergeCell ref="K16:L16"/>
    <mergeCell ref="N54:O54"/>
    <mergeCell ref="Z69:AC69"/>
    <mergeCell ref="K9:L9"/>
    <mergeCell ref="N41:O41"/>
    <mergeCell ref="I45:J45"/>
    <mergeCell ref="S42:T42"/>
    <mergeCell ref="P41:Q41"/>
    <mergeCell ref="K45:L45"/>
    <mergeCell ref="D65:E65"/>
    <mergeCell ref="S77:T77"/>
    <mergeCell ref="N56:O56"/>
    <mergeCell ref="F21:G21"/>
    <mergeCell ref="U77:V77"/>
    <mergeCell ref="P56:Q56"/>
    <mergeCell ref="K11:L11"/>
    <mergeCell ref="N43:O43"/>
    <mergeCell ref="I47:J47"/>
    <mergeCell ref="K47:L47"/>
    <mergeCell ref="A62:C62"/>
    <mergeCell ref="P49:Q49"/>
    <mergeCell ref="K46:L46"/>
    <mergeCell ref="S37:T37"/>
    <mergeCell ref="K40:L40"/>
    <mergeCell ref="D17:E17"/>
    <mergeCell ref="U37:V37"/>
    <mergeCell ref="A72:C72"/>
    <mergeCell ref="U12:V12"/>
    <mergeCell ref="U72:V72"/>
    <mergeCell ref="W14:Y14"/>
    <mergeCell ref="Z16:AC16"/>
    <mergeCell ref="W13:Y13"/>
    <mergeCell ref="A30:C30"/>
    <mergeCell ref="N59:O59"/>
    <mergeCell ref="W78:Y78"/>
    <mergeCell ref="A59:C59"/>
    <mergeCell ref="D12:E12"/>
    <mergeCell ref="I79:J79"/>
    <mergeCell ref="N9:O9"/>
    <mergeCell ref="I73:J73"/>
    <mergeCell ref="K73:L73"/>
    <mergeCell ref="Z18:AC18"/>
    <mergeCell ref="W15:Y15"/>
    <mergeCell ref="I40:J40"/>
    <mergeCell ref="W80:Y80"/>
    <mergeCell ref="A61:C61"/>
    <mergeCell ref="F49:G49"/>
    <mergeCell ref="D14:E14"/>
    <mergeCell ref="Z17:AC17"/>
    <mergeCell ref="S32:T32"/>
    <mergeCell ref="F14:G14"/>
    <mergeCell ref="S26:T26"/>
    <mergeCell ref="Z82:AC82"/>
    <mergeCell ref="U26:V26"/>
    <mergeCell ref="A54:C54"/>
    <mergeCell ref="P54:Q54"/>
    <mergeCell ref="A41:C41"/>
    <mergeCell ref="P29:Q29"/>
    <mergeCell ref="F78:G78"/>
    <mergeCell ref="F65:G65"/>
    <mergeCell ref="A56:C56"/>
    <mergeCell ref="A27:C27"/>
    <mergeCell ref="P44:Q44"/>
    <mergeCell ref="S27:T27"/>
    <mergeCell ref="D80:E80"/>
    <mergeCell ref="U27:V27"/>
    <mergeCell ref="P31:Q31"/>
    <mergeCell ref="F55:G55"/>
    <mergeCell ref="U25:V25"/>
    <mergeCell ref="N62:O62"/>
    <mergeCell ref="Z6:AC6"/>
    <mergeCell ref="Z77:AC77"/>
    <mergeCell ref="I53:J53"/>
    <mergeCell ref="K59:L59"/>
    <mergeCell ref="N64:O64"/>
    <mergeCell ref="I68:J68"/>
    <mergeCell ref="I55:J55"/>
    <mergeCell ref="I67:J67"/>
    <mergeCell ref="A9:C9"/>
    <mergeCell ref="I5:J5"/>
    <mergeCell ref="N57:O57"/>
    <mergeCell ref="Z72:AC72"/>
    <mergeCell ref="P57:Q57"/>
    <mergeCell ref="K61:L61"/>
    <mergeCell ref="D58:E58"/>
    <mergeCell ref="F58:G58"/>
    <mergeCell ref="I48:J48"/>
    <mergeCell ref="S45:T45"/>
    <mergeCell ref="F52:G52"/>
    <mergeCell ref="K48:L48"/>
    <mergeCell ref="D8:E8"/>
    <mergeCell ref="F37:G37"/>
    <mergeCell ref="A11:C11"/>
    <mergeCell ref="W5:Y5"/>
    <mergeCell ref="F60:G60"/>
    <mergeCell ref="U38:V38"/>
    <mergeCell ref="P42:Q42"/>
    <mergeCell ref="A78:C78"/>
    <mergeCell ref="K62:L62"/>
    <mergeCell ref="A65:C65"/>
    <mergeCell ref="F53:G53"/>
    <mergeCell ref="D20:E20"/>
    <mergeCell ref="U40:V40"/>
    <mergeCell ref="N11:O11"/>
    <mergeCell ref="A80:C80"/>
    <mergeCell ref="W79:Y79"/>
    <mergeCell ref="U15:V15"/>
    <mergeCell ref="F68:G68"/>
    <mergeCell ref="D22:E22"/>
    <mergeCell ref="N75:O75"/>
    <mergeCell ref="Z19:AC19"/>
    <mergeCell ref="N12:O12"/>
    <mergeCell ref="I16:J16"/>
    <mergeCell ref="F15:G15"/>
    <mergeCell ref="D13:E13"/>
    <mergeCell ref="S73:T73"/>
    <mergeCell ref="F80:G80"/>
    <mergeCell ref="F79:G79"/>
    <mergeCell ref="N39:O39"/>
    <mergeCell ref="N14:O14"/>
    <mergeCell ref="I18:J18"/>
    <mergeCell ref="P39:Q39"/>
    <mergeCell ref="P70:Q70"/>
    <mergeCell ref="K67:L67"/>
    <mergeCell ref="P32:Q32"/>
    <mergeCell ref="U33:V33"/>
    <mergeCell ref="P47:Q47"/>
    <mergeCell ref="Z37:AC37"/>
    <mergeCell ref="W34:Y34"/>
    <mergeCell ref="S35:T35"/>
    <mergeCell ref="D33:E33"/>
    <mergeCell ref="W36:Y36"/>
    <mergeCell ref="W30:Y30"/>
    <mergeCell ref="N65:O65"/>
    <mergeCell ref="I69:J69"/>
    <mergeCell ref="K69:L69"/>
    <mergeCell ref="D35:E35"/>
    <mergeCell ref="Z38:AC38"/>
    <mergeCell ref="S47:T47"/>
    <mergeCell ref="I6:J6"/>
    <mergeCell ref="D10:E10"/>
    <mergeCell ref="I77:J77"/>
    <mergeCell ref="Z13:AC13"/>
    <mergeCell ref="N7:O7"/>
    <mergeCell ref="S59:T59"/>
    <mergeCell ref="N63:O63"/>
    <mergeCell ref="A75:C75"/>
    <mergeCell ref="U59:V59"/>
    <mergeCell ref="P63:Q63"/>
    <mergeCell ref="F63:G63"/>
    <mergeCell ref="S46:T46"/>
    <mergeCell ref="N25:O25"/>
    <mergeCell ref="D34:E34"/>
    <mergeCell ref="U46:V46"/>
    <mergeCell ref="P25:Q25"/>
    <mergeCell ref="F34:G34"/>
    <mergeCell ref="W31:Y31"/>
    <mergeCell ref="A12:C12"/>
    <mergeCell ref="Z63:AC63"/>
    <mergeCell ref="Z15:AC15"/>
    <mergeCell ref="F74:G74"/>
    <mergeCell ref="S61:T61"/>
    <mergeCell ref="P60:Q60"/>
    <mergeCell ref="K64:L64"/>
    <mergeCell ref="U61:V61"/>
    <mergeCell ref="S48:T48"/>
    <mergeCell ref="K51:L51"/>
    <mergeCell ref="F30:G30"/>
    <mergeCell ref="U48:V48"/>
    <mergeCell ref="P52:Q52"/>
    <mergeCell ref="I72:J72"/>
    <mergeCell ref="A14:C14"/>
    <mergeCell ref="F5:G5"/>
    <mergeCell ref="K72:L72"/>
    <mergeCell ref="U41:V41"/>
    <mergeCell ref="Z27:AC27"/>
    <mergeCell ref="U56:V56"/>
    <mergeCell ref="U43:V43"/>
    <mergeCell ref="I24:J24"/>
    <mergeCell ref="N13:O13"/>
    <mergeCell ref="I17:J17"/>
    <mergeCell ref="W49:Y49"/>
    <mergeCell ref="K17:L17"/>
    <mergeCell ref="N78:O78"/>
    <mergeCell ref="Z22:AC22"/>
    <mergeCell ref="I82:J82"/>
    <mergeCell ref="P78:Q78"/>
    <mergeCell ref="K82:L82"/>
    <mergeCell ref="W24:Y24"/>
    <mergeCell ref="F10:G10"/>
    <mergeCell ref="D29:E29"/>
    <mergeCell ref="I19:J19"/>
    <mergeCell ref="D23:E23"/>
    <mergeCell ref="K19:L19"/>
    <mergeCell ref="N80:O80"/>
    <mergeCell ref="K6:L6"/>
    <mergeCell ref="W26:Y26"/>
    <mergeCell ref="A7:C7"/>
    <mergeCell ref="S51:T51"/>
    <mergeCell ref="N55:O55"/>
    <mergeCell ref="P55:Q55"/>
    <mergeCell ref="A25:C25"/>
    <mergeCell ref="U34:V34"/>
    <mergeCell ref="U9:V9"/>
    <mergeCell ref="U49:V49"/>
    <mergeCell ref="U36:V36"/>
    <mergeCell ref="U30:V30"/>
    <mergeCell ref="Z59:AC59"/>
    <mergeCell ref="F7:G7"/>
    <mergeCell ref="K60:L60"/>
    <mergeCell ref="Z46:AC46"/>
    <mergeCell ref="Z40:AC40"/>
    <mergeCell ref="D49:E49"/>
    <mergeCell ref="S67:T67"/>
    <mergeCell ref="N58:O58"/>
    <mergeCell ref="N33:O33"/>
    <mergeCell ref="W52:Y52"/>
    <mergeCell ref="I37:J37"/>
    <mergeCell ref="F36:G36"/>
    <mergeCell ref="W39:Y39"/>
    <mergeCell ref="N8:O8"/>
    <mergeCell ref="A20:C20"/>
    <mergeCell ref="F8:G8"/>
    <mergeCell ref="Z54:AC54"/>
    <mergeCell ref="S69:T69"/>
    <mergeCell ref="Z41:AC41"/>
    <mergeCell ref="W37:Y37"/>
    <mergeCell ref="S6:T6"/>
    <mergeCell ref="N10:O10"/>
    <mergeCell ref="U62:V62"/>
    <mergeCell ref="P66:Q66"/>
    <mergeCell ref="P53:Q53"/>
    <mergeCell ref="Z43:AC43"/>
    <mergeCell ref="A64:C64"/>
    <mergeCell ref="D25:E25"/>
    <mergeCell ref="F77:G77"/>
    <mergeCell ref="K7:L7"/>
    <mergeCell ref="S64:T64"/>
    <mergeCell ref="U64:V64"/>
    <mergeCell ref="P68:Q68"/>
    <mergeCell ref="K65:L65"/>
    <mergeCell ref="U51:V51"/>
    <mergeCell ref="I63:J63"/>
    <mergeCell ref="F17:G17"/>
    <mergeCell ref="D54:E54"/>
    <mergeCell ref="P5:Q5"/>
    <mergeCell ref="S16:T16"/>
    <mergeCell ref="W63:Y63"/>
    <mergeCell ref="I27:J27"/>
    <mergeCell ref="Z34:AC34"/>
    <mergeCell ref="S18:T18"/>
    <mergeCell ref="F59:G59"/>
    <mergeCell ref="A33:C33"/>
    <mergeCell ref="F24:G24"/>
    <mergeCell ref="S17:T17"/>
    <mergeCell ref="N21:O21"/>
    <mergeCell ref="Z36:AC36"/>
    <mergeCell ref="K20:L20"/>
    <mergeCell ref="S11:T11"/>
    <mergeCell ref="U17:V17"/>
    <mergeCell ref="S82:T82"/>
    <mergeCell ref="Z30:AC30"/>
    <mergeCell ref="W27:Y27"/>
    <mergeCell ref="U11:V11"/>
    <mergeCell ref="P21:Q21"/>
    <mergeCell ref="P8:Q8"/>
    <mergeCell ref="D57:E57"/>
    <mergeCell ref="A8:C8"/>
    <mergeCell ref="D32:E32"/>
    <mergeCell ref="I22:J22"/>
    <mergeCell ref="F32:G32"/>
    <mergeCell ref="A35:C35"/>
    <mergeCell ref="N23:O23"/>
    <mergeCell ref="K22:L22"/>
    <mergeCell ref="F26:G26"/>
    <mergeCell ref="P23:Q23"/>
    <mergeCell ref="U75:V75"/>
    <mergeCell ref="A10:C10"/>
    <mergeCell ref="Z61:AC61"/>
    <mergeCell ref="P16:Q16"/>
    <mergeCell ref="A39:C39"/>
    <mergeCell ref="U52:V52"/>
    <mergeCell ref="F27:G27"/>
    <mergeCell ref="U39:V39"/>
    <mergeCell ref="P18:Q18"/>
    <mergeCell ref="Z56:AC56"/>
    <mergeCell ref="N34:O34"/>
    <mergeCell ref="I38:J38"/>
    <mergeCell ref="K38:L38"/>
    <mergeCell ref="D42:E42"/>
    <mergeCell ref="W45:Y45"/>
    <mergeCell ref="N74:O74"/>
    <mergeCell ref="N49:O49"/>
    <mergeCell ref="Z51:AC51"/>
    <mergeCell ref="P74:Q74"/>
    <mergeCell ref="Z64:AC64"/>
    <mergeCell ref="D44:E44"/>
    <mergeCell ref="W55:Y55"/>
    <mergeCell ref="F44:G44"/>
  </mergeCells>
  <pageMargins left="0.7" right="0.7" top="0.75" bottom="0.75" header="0.3" footer="0.3"/>
  <pageSetup orientation="portrait" paperSize="9" scale="2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5"/>
  <sheetViews>
    <sheetView topLeftCell="A45" zoomScale="44" zoomScaleNormal="74" workbookViewId="0">
      <selection activeCell="V13" sqref="V13:X13"/>
    </sheetView>
  </sheetViews>
  <sheetFormatPr baseColWidth="10" defaultColWidth="8.83203125" defaultRowHeight="15"/>
  <cols>
    <col width="10.6640625" customWidth="1" min="2" max="2"/>
    <col width="60" customWidth="1" min="3" max="3"/>
    <col width="14" customWidth="1" min="4" max="4"/>
    <col width="11" customWidth="1" min="5" max="5"/>
    <col width="9.1640625" customWidth="1" min="7" max="7"/>
    <col width="1" customWidth="1" min="8" max="8"/>
    <col width="12.6640625" customWidth="1" min="9" max="9"/>
    <col width="10.83203125" customWidth="1" min="10" max="10"/>
    <col width="12.83203125" customWidth="1" min="12" max="12"/>
    <col width="0.83203125" customWidth="1" min="13" max="13"/>
    <col width="23.1640625" customWidth="1" min="14" max="14"/>
    <col width="0.6640625" customWidth="1" min="15" max="15"/>
    <col width="25" customWidth="1" min="16" max="16"/>
    <col width="1" customWidth="1" min="17" max="17"/>
    <col width="25.33203125" customWidth="1" min="18" max="18"/>
    <col width="0.5" customWidth="1" min="19" max="19"/>
    <col width="17.33203125" customWidth="1" min="20" max="20"/>
    <col width="4.6640625" customWidth="1" min="21" max="21"/>
    <col width="11.5" customWidth="1" min="24" max="24"/>
    <col width="7.33203125" customWidth="1" min="26" max="26"/>
    <col hidden="1" width="9.33203125" customWidth="1" min="27" max="28"/>
  </cols>
  <sheetData>
    <row r="1" ht="16" customHeight="1" thickBot="1">
      <c r="A1" s="1" t="inlineStr">
        <is>
          <t>LA VİTA</t>
        </is>
      </c>
      <c r="B1" s="6" t="n">
        <v>46220</v>
      </c>
    </row>
    <row r="2" ht="16" customHeight="1" thickBot="1">
      <c r="A2" s="1" t="inlineStr">
        <is>
          <t>GÜN:</t>
        </is>
      </c>
      <c r="B2" s="1" t="inlineStr">
        <is>
          <t>Cuma</t>
        </is>
      </c>
    </row>
    <row r="3" ht="57" customFormat="1" customHeight="1" s="104">
      <c r="A3" s="607" t="inlineStr">
        <is>
          <t>BÖREKLİ TAS</t>
        </is>
      </c>
      <c r="B3" s="567" t="n"/>
      <c r="C3" s="568" t="n"/>
      <c r="D3" s="260" t="inlineStr">
        <is>
          <t>NİŞANTAŞI</t>
        </is>
      </c>
      <c r="E3" s="583" t="n"/>
      <c r="F3" s="608" t="inlineStr">
        <is>
          <t>GİDEN</t>
        </is>
      </c>
      <c r="G3" s="583" t="n"/>
      <c r="H3" s="244" t="n"/>
      <c r="I3" s="609" t="inlineStr">
        <is>
          <t>FULYA</t>
        </is>
      </c>
      <c r="J3" s="583" t="n"/>
      <c r="K3" s="609" t="inlineStr">
        <is>
          <t>GİDEN</t>
        </is>
      </c>
      <c r="L3" s="583" t="n"/>
      <c r="M3" s="244" t="n"/>
      <c r="N3" s="610" t="inlineStr">
        <is>
          <t>MASLAK</t>
        </is>
      </c>
      <c r="O3" s="583" t="n"/>
      <c r="P3" s="273" t="inlineStr">
        <is>
          <t>GİDEN</t>
        </is>
      </c>
      <c r="Q3" s="246" t="n"/>
      <c r="R3" s="611" t="inlineStr">
        <is>
          <t>K.BURNU</t>
        </is>
      </c>
      <c r="S3" s="583" t="n"/>
      <c r="T3" s="275" t="inlineStr">
        <is>
          <t>GİDEN</t>
        </is>
      </c>
      <c r="U3" s="561" t="n"/>
      <c r="V3" s="607" t="inlineStr">
        <is>
          <t>BÖREKLİ TAS</t>
        </is>
      </c>
      <c r="W3" s="567" t="n"/>
      <c r="X3" s="568" t="n"/>
      <c r="Y3" s="612" t="inlineStr">
        <is>
          <t>TOPLAM ADET</t>
        </is>
      </c>
      <c r="Z3" s="567" t="n"/>
      <c r="AA3" s="567" t="n"/>
      <c r="AB3" s="568" t="n"/>
    </row>
    <row r="4" ht="70" customHeight="1">
      <c r="A4" s="254" t="inlineStr">
        <is>
          <t>PEYNİRLİ BÖREKLİTAŞ</t>
        </is>
      </c>
      <c r="B4" s="564" t="n"/>
      <c r="C4" s="565" t="n"/>
      <c r="D4" s="255" t="n"/>
      <c r="E4" s="565" t="n"/>
      <c r="F4" s="255" t="n"/>
      <c r="G4" s="565" t="n"/>
      <c r="H4" s="114" t="n"/>
      <c r="I4" s="255" t="n"/>
      <c r="J4" s="565" t="n"/>
      <c r="K4" s="255" t="n"/>
      <c r="L4" s="565" t="n"/>
      <c r="M4" s="114" t="n"/>
      <c r="N4" s="255" t="n"/>
      <c r="O4" s="565" t="n"/>
      <c r="P4" s="255" t="n"/>
      <c r="Q4" s="115" t="n"/>
      <c r="R4" s="255" t="n"/>
      <c r="S4" s="565" t="n"/>
      <c r="T4" s="255" t="n"/>
      <c r="U4" s="565" t="n"/>
      <c r="V4" s="283" t="inlineStr">
        <is>
          <t>PEYNİRLİ BÖREKLİTAŞ</t>
        </is>
      </c>
      <c r="W4" s="564" t="n"/>
      <c r="X4" s="565" t="n"/>
      <c r="Y4" s="290">
        <f>D4+I4+N4+R4</f>
        <v/>
      </c>
      <c r="Z4" s="564" t="n"/>
      <c r="AA4" s="564" t="n"/>
      <c r="AB4" s="565" t="n"/>
    </row>
    <row r="5" ht="70" customHeight="1">
      <c r="A5" s="254" t="inlineStr">
        <is>
          <t>DEREOTLU PEYNİRLİ</t>
        </is>
      </c>
      <c r="B5" s="564" t="n"/>
      <c r="C5" s="565" t="n"/>
      <c r="D5" s="255" t="n"/>
      <c r="E5" s="565" t="n"/>
      <c r="F5" s="255" t="n"/>
      <c r="G5" s="565" t="n"/>
      <c r="H5" s="114" t="n"/>
      <c r="I5" s="255" t="n"/>
      <c r="J5" s="565" t="n"/>
      <c r="K5" s="255" t="n"/>
      <c r="L5" s="565" t="n"/>
      <c r="M5" s="114" t="n"/>
      <c r="N5" s="255" t="n"/>
      <c r="O5" s="565" t="n"/>
      <c r="P5" s="255" t="n"/>
      <c r="Q5" s="115" t="n"/>
      <c r="R5" s="255" t="n"/>
      <c r="S5" s="565" t="n"/>
      <c r="T5" s="255" t="n"/>
      <c r="U5" s="565" t="n"/>
      <c r="V5" s="283" t="inlineStr">
        <is>
          <t>DEREOTLU PEYNİRLİ</t>
        </is>
      </c>
      <c r="W5" s="564" t="n"/>
      <c r="X5" s="565" t="n"/>
      <c r="Y5" s="290">
        <f>D5+I5+N5+R5</f>
        <v/>
      </c>
      <c r="Z5" s="564" t="n"/>
      <c r="AA5" s="564" t="n"/>
      <c r="AB5" s="565" t="n"/>
    </row>
    <row r="6" ht="70" customHeight="1">
      <c r="A6" s="254" t="inlineStr">
        <is>
          <t>ZEYTİNLİ</t>
        </is>
      </c>
      <c r="B6" s="564" t="n"/>
      <c r="C6" s="565" t="n"/>
      <c r="D6" s="255" t="n"/>
      <c r="E6" s="565" t="n"/>
      <c r="F6" s="255" t="n"/>
      <c r="G6" s="565" t="n"/>
      <c r="H6" s="114" t="n"/>
      <c r="I6" s="255" t="n"/>
      <c r="J6" s="565" t="n"/>
      <c r="K6" s="255" t="n"/>
      <c r="L6" s="565" t="n"/>
      <c r="M6" s="114" t="n"/>
      <c r="N6" s="255" t="n"/>
      <c r="O6" s="565" t="n"/>
      <c r="P6" s="255" t="n"/>
      <c r="Q6" s="115" t="n"/>
      <c r="R6" s="255" t="n"/>
      <c r="S6" s="565" t="n"/>
      <c r="T6" s="255" t="n"/>
      <c r="U6" s="565" t="n"/>
      <c r="V6" s="283" t="inlineStr">
        <is>
          <t>ZEYTİNLİ</t>
        </is>
      </c>
      <c r="W6" s="564" t="n"/>
      <c r="X6" s="565" t="n"/>
      <c r="Y6" s="290">
        <f>D6+I6+N6+R6</f>
        <v/>
      </c>
      <c r="Z6" s="564" t="n"/>
      <c r="AA6" s="564" t="n"/>
      <c r="AB6" s="565" t="n"/>
    </row>
    <row r="7" ht="70" customHeight="1">
      <c r="A7" s="262" t="inlineStr">
        <is>
          <t>PATATESLİ</t>
        </is>
      </c>
      <c r="B7" s="567" t="n"/>
      <c r="C7" s="568" t="n"/>
      <c r="D7" s="263" t="n"/>
      <c r="E7" s="568" t="n"/>
      <c r="F7" s="263" t="n"/>
      <c r="G7" s="568" t="n"/>
      <c r="H7" s="121" t="n"/>
      <c r="I7" s="263" t="n"/>
      <c r="J7" s="568" t="n"/>
      <c r="K7" s="263" t="n"/>
      <c r="L7" s="568" t="n"/>
      <c r="M7" s="121" t="n"/>
      <c r="N7" s="263" t="n"/>
      <c r="O7" s="568" t="n"/>
      <c r="P7" s="263" t="n"/>
      <c r="Q7" s="116" t="n"/>
      <c r="R7" s="263" t="n"/>
      <c r="S7" s="568" t="n"/>
      <c r="T7" s="263" t="n"/>
      <c r="U7" s="568" t="n"/>
      <c r="V7" s="284" t="inlineStr">
        <is>
          <t>PATATESLİ</t>
        </is>
      </c>
      <c r="W7" s="567" t="n"/>
      <c r="X7" s="568" t="n"/>
      <c r="Y7" s="291">
        <f>D7+I7+N7+R7</f>
        <v/>
      </c>
      <c r="Z7" s="567" t="n"/>
      <c r="AA7" s="567" t="n"/>
      <c r="AB7" s="568" t="n"/>
    </row>
    <row r="8" ht="20" customHeight="1">
      <c r="A8" s="203" t="n"/>
      <c r="B8" s="203" t="n"/>
      <c r="C8" s="203" t="n"/>
      <c r="D8" s="118" t="n"/>
      <c r="E8" s="118" t="n"/>
      <c r="F8" s="118" t="n"/>
      <c r="G8" s="118" t="n"/>
      <c r="H8" s="126" t="n"/>
      <c r="I8" s="118" t="n"/>
      <c r="J8" s="118" t="n"/>
      <c r="K8" s="118" t="n"/>
      <c r="L8" s="118" t="n"/>
      <c r="M8" s="126" t="n"/>
      <c r="N8" s="118" t="n"/>
      <c r="O8" s="118" t="n"/>
      <c r="P8" s="118" t="n"/>
      <c r="Q8" s="230" t="n"/>
      <c r="R8" s="118" t="n"/>
      <c r="S8" s="118" t="n"/>
      <c r="T8" s="118" t="n"/>
      <c r="U8" s="118" t="n"/>
      <c r="V8" s="231" t="n"/>
      <c r="W8" s="231" t="n"/>
      <c r="X8" s="231" t="n"/>
      <c r="Y8" s="103" t="n"/>
      <c r="Z8" s="103" t="n"/>
      <c r="AA8" s="103" t="n"/>
      <c r="AB8" s="103" t="n"/>
    </row>
    <row r="9" ht="70" customHeight="1">
      <c r="A9" s="264" t="inlineStr">
        <is>
          <t>KORNET DEREOTLU</t>
        </is>
      </c>
      <c r="B9" s="584" t="n"/>
      <c r="C9" s="598" t="n"/>
      <c r="D9" s="265" t="n"/>
      <c r="E9" s="598" t="n"/>
      <c r="F9" s="265" t="n"/>
      <c r="G9" s="598" t="n"/>
      <c r="H9" s="122" t="n"/>
      <c r="I9" s="265" t="n"/>
      <c r="J9" s="598" t="n"/>
      <c r="K9" s="265" t="n"/>
      <c r="L9" s="598" t="n"/>
      <c r="M9" s="122" t="n"/>
      <c r="N9" s="265" t="n"/>
      <c r="O9" s="598" t="n"/>
      <c r="P9" s="265" t="n"/>
      <c r="Q9" s="119" t="n"/>
      <c r="R9" s="265" t="n"/>
      <c r="S9" s="598" t="n"/>
      <c r="T9" s="265" t="n"/>
      <c r="U9" s="598" t="n"/>
      <c r="V9" s="286" t="inlineStr">
        <is>
          <t>KORNET DEREOTLU</t>
        </is>
      </c>
      <c r="W9" s="584" t="n"/>
      <c r="X9" s="598" t="n"/>
      <c r="Y9" s="292">
        <f>D9+I9+N9+R9</f>
        <v/>
      </c>
      <c r="Z9" s="584" t="n"/>
      <c r="AA9" s="584" t="n"/>
      <c r="AB9" s="598" t="n"/>
    </row>
    <row r="10" ht="70" customHeight="1">
      <c r="A10" s="254" t="inlineStr">
        <is>
          <t>DEREOTLU SUFLE</t>
        </is>
      </c>
      <c r="B10" s="564" t="n"/>
      <c r="C10" s="565" t="n"/>
      <c r="D10" s="255" t="n"/>
      <c r="E10" s="565" t="n"/>
      <c r="F10" s="255" t="n"/>
      <c r="G10" s="565" t="n"/>
      <c r="H10" s="114" t="n"/>
      <c r="I10" s="255" t="n"/>
      <c r="J10" s="565" t="n"/>
      <c r="K10" s="255" t="n"/>
      <c r="L10" s="565" t="n"/>
      <c r="M10" s="114" t="n"/>
      <c r="N10" s="255" t="n"/>
      <c r="O10" s="565" t="n"/>
      <c r="P10" s="255" t="n"/>
      <c r="Q10" s="115" t="n"/>
      <c r="R10" s="255" t="n"/>
      <c r="S10" s="565" t="n"/>
      <c r="T10" s="255" t="n"/>
      <c r="U10" s="565" t="n"/>
      <c r="V10" s="283" t="inlineStr">
        <is>
          <t>DEREOTLU SUFLE</t>
        </is>
      </c>
      <c r="W10" s="564" t="n"/>
      <c r="X10" s="565" t="n"/>
      <c r="Y10" s="290">
        <f>D10+I10+N10+R10</f>
        <v/>
      </c>
      <c r="Z10" s="564" t="n"/>
      <c r="AA10" s="564" t="n"/>
      <c r="AB10" s="565" t="n"/>
    </row>
    <row r="11" ht="70" customHeight="1">
      <c r="A11" s="254" t="inlineStr">
        <is>
          <t>SEBZELİ</t>
        </is>
      </c>
      <c r="B11" s="564" t="n"/>
      <c r="C11" s="565" t="n"/>
      <c r="D11" s="255" t="n"/>
      <c r="E11" s="565" t="n"/>
      <c r="F11" s="255" t="n"/>
      <c r="G11" s="565" t="n"/>
      <c r="H11" s="114" t="n"/>
      <c r="I11" s="255" t="n"/>
      <c r="J11" s="565" t="n"/>
      <c r="K11" s="255" t="n"/>
      <c r="L11" s="565" t="n"/>
      <c r="M11" s="114" t="n"/>
      <c r="N11" s="255" t="n"/>
      <c r="O11" s="565" t="n"/>
      <c r="P11" s="255" t="n"/>
      <c r="Q11" s="115" t="n"/>
      <c r="R11" s="255" t="n"/>
      <c r="S11" s="565" t="n"/>
      <c r="T11" s="255" t="n"/>
      <c r="U11" s="565" t="n"/>
      <c r="V11" s="283" t="inlineStr">
        <is>
          <t>SEBZELİ</t>
        </is>
      </c>
      <c r="W11" s="564" t="n"/>
      <c r="X11" s="565" t="n"/>
      <c r="Y11" s="290">
        <f>D11+I11+N11+R11</f>
        <v/>
      </c>
      <c r="Z11" s="564" t="n"/>
      <c r="AA11" s="564" t="n"/>
      <c r="AB11" s="565" t="n"/>
    </row>
    <row r="12" ht="70" customHeight="1">
      <c r="A12" s="254" t="inlineStr">
        <is>
          <t>PATLICANLI</t>
        </is>
      </c>
      <c r="B12" s="564" t="n"/>
      <c r="C12" s="565" t="n"/>
      <c r="D12" s="255" t="n"/>
      <c r="E12" s="565" t="n"/>
      <c r="F12" s="255" t="n"/>
      <c r="G12" s="565" t="n"/>
      <c r="H12" s="114" t="n"/>
      <c r="I12" s="255" t="n"/>
      <c r="J12" s="565" t="n"/>
      <c r="K12" s="255" t="n"/>
      <c r="L12" s="565" t="n"/>
      <c r="M12" s="114" t="n"/>
      <c r="N12" s="255" t="n"/>
      <c r="O12" s="565" t="n"/>
      <c r="P12" s="255" t="n"/>
      <c r="Q12" s="115" t="n"/>
      <c r="R12" s="255" t="n"/>
      <c r="S12" s="565" t="n"/>
      <c r="T12" s="255" t="n"/>
      <c r="U12" s="565" t="n"/>
      <c r="V12" s="283" t="inlineStr">
        <is>
          <t>PATLICANLI</t>
        </is>
      </c>
      <c r="W12" s="564" t="n"/>
      <c r="X12" s="565" t="n"/>
      <c r="Y12" s="290">
        <f>D12+I12+N12+R12</f>
        <v/>
      </c>
      <c r="Z12" s="564" t="n"/>
      <c r="AA12" s="564" t="n"/>
      <c r="AB12" s="565" t="n"/>
    </row>
    <row r="13" ht="70" customHeight="1">
      <c r="A13" s="254" t="inlineStr">
        <is>
          <t>MİNİ PİZZA</t>
        </is>
      </c>
      <c r="B13" s="564" t="n"/>
      <c r="C13" s="565" t="n"/>
      <c r="D13" s="255" t="n"/>
      <c r="E13" s="565" t="n"/>
      <c r="F13" s="255" t="n"/>
      <c r="G13" s="565" t="n"/>
      <c r="H13" s="114" t="n"/>
      <c r="I13" s="255" t="n"/>
      <c r="J13" s="565" t="n"/>
      <c r="K13" s="255" t="n"/>
      <c r="L13" s="565" t="n"/>
      <c r="M13" s="114" t="n"/>
      <c r="N13" s="255" t="n"/>
      <c r="O13" s="565" t="n"/>
      <c r="P13" s="255" t="n"/>
      <c r="Q13" s="115" t="n"/>
      <c r="R13" s="255" t="n"/>
      <c r="S13" s="565" t="n"/>
      <c r="T13" s="255" t="n"/>
      <c r="U13" s="565" t="n"/>
      <c r="V13" s="283" t="inlineStr">
        <is>
          <t>MİNİ PİZZA</t>
        </is>
      </c>
      <c r="W13" s="564" t="n"/>
      <c r="X13" s="565" t="n"/>
      <c r="Y13" s="290">
        <f>D13+I13+N13+R13</f>
        <v/>
      </c>
      <c r="Z13" s="564" t="n"/>
      <c r="AA13" s="564" t="n"/>
      <c r="AB13" s="565" t="n"/>
    </row>
    <row r="14" ht="70" customHeight="1">
      <c r="A14" s="254" t="inlineStr">
        <is>
          <t>MİNİK SİMİT</t>
        </is>
      </c>
      <c r="B14" s="564" t="n"/>
      <c r="C14" s="565" t="n"/>
      <c r="D14" s="255" t="n"/>
      <c r="E14" s="565" t="n"/>
      <c r="F14" s="255" t="n"/>
      <c r="G14" s="565" t="n"/>
      <c r="H14" s="114" t="n"/>
      <c r="I14" s="255" t="n"/>
      <c r="J14" s="565" t="n"/>
      <c r="K14" s="255" t="n"/>
      <c r="L14" s="565" t="n"/>
      <c r="M14" s="114" t="n"/>
      <c r="N14" s="255" t="n"/>
      <c r="O14" s="565" t="n"/>
      <c r="P14" s="255" t="n"/>
      <c r="Q14" s="115" t="n"/>
      <c r="R14" s="255" t="n"/>
      <c r="S14" s="565" t="n"/>
      <c r="T14" s="255" t="n"/>
      <c r="U14" s="565" t="n"/>
      <c r="V14" s="283" t="inlineStr">
        <is>
          <t>MİNİK SİMİT</t>
        </is>
      </c>
      <c r="W14" s="564" t="n"/>
      <c r="X14" s="565" t="n"/>
      <c r="Y14" s="290">
        <f>D14+I14+N14+R14</f>
        <v/>
      </c>
      <c r="Z14" s="564" t="n"/>
      <c r="AA14" s="564" t="n"/>
      <c r="AB14" s="565" t="n"/>
    </row>
    <row r="15" ht="70" customHeight="1">
      <c r="A15" s="254" t="inlineStr">
        <is>
          <t>DÜZ ÖRGÜ</t>
        </is>
      </c>
      <c r="B15" s="564" t="n"/>
      <c r="C15" s="565" t="n"/>
      <c r="D15" s="255" t="n"/>
      <c r="E15" s="565" t="n"/>
      <c r="F15" s="255" t="n"/>
      <c r="G15" s="565" t="n"/>
      <c r="H15" s="114" t="n"/>
      <c r="I15" s="255" t="n"/>
      <c r="J15" s="565" t="n"/>
      <c r="K15" s="255" t="n"/>
      <c r="L15" s="565" t="n"/>
      <c r="M15" s="114" t="n"/>
      <c r="N15" s="255" t="n"/>
      <c r="O15" s="565" t="n"/>
      <c r="P15" s="255" t="n"/>
      <c r="Q15" s="115" t="n"/>
      <c r="R15" s="255" t="n"/>
      <c r="S15" s="565" t="n"/>
      <c r="T15" s="255" t="n"/>
      <c r="U15" s="565" t="n"/>
      <c r="V15" s="283" t="inlineStr">
        <is>
          <t>DÜZ ÖRGÜ</t>
        </is>
      </c>
      <c r="W15" s="564" t="n"/>
      <c r="X15" s="565" t="n"/>
      <c r="Y15" s="290">
        <f>D15+I15+N15+R15</f>
        <v/>
      </c>
      <c r="Z15" s="564" t="n"/>
      <c r="AA15" s="564" t="n"/>
      <c r="AB15" s="565" t="n"/>
    </row>
    <row r="16" ht="70" customHeight="1">
      <c r="A16" s="254" t="inlineStr">
        <is>
          <t>YUVARLAK ÖRGÜ</t>
        </is>
      </c>
      <c r="B16" s="564" t="n"/>
      <c r="C16" s="565" t="n"/>
      <c r="D16" s="255" t="n"/>
      <c r="E16" s="565" t="n"/>
      <c r="F16" s="255" t="n"/>
      <c r="G16" s="565" t="n"/>
      <c r="H16" s="114" t="n"/>
      <c r="I16" s="255" t="n"/>
      <c r="J16" s="565" t="n"/>
      <c r="K16" s="255" t="n"/>
      <c r="L16" s="565" t="n"/>
      <c r="M16" s="114" t="n"/>
      <c r="N16" s="255" t="n"/>
      <c r="O16" s="565" t="n"/>
      <c r="P16" s="255" t="n"/>
      <c r="Q16" s="115" t="n"/>
      <c r="R16" s="255" t="n"/>
      <c r="S16" s="565" t="n"/>
      <c r="T16" s="255" t="n"/>
      <c r="U16" s="565" t="n"/>
      <c r="V16" s="283" t="inlineStr">
        <is>
          <t>YUVARLAK ÖRGÜ</t>
        </is>
      </c>
      <c r="W16" s="564" t="n"/>
      <c r="X16" s="565" t="n"/>
      <c r="Y16" s="290">
        <f>D16+I16+N16+R16</f>
        <v/>
      </c>
      <c r="Z16" s="564" t="n"/>
      <c r="AA16" s="564" t="n"/>
      <c r="AB16" s="565" t="n"/>
    </row>
    <row r="17" ht="70" customHeight="1">
      <c r="A17" s="254" t="inlineStr">
        <is>
          <t>BURGU SUSAMLI HAŞHAŞLI</t>
        </is>
      </c>
      <c r="B17" s="564" t="n"/>
      <c r="C17" s="565" t="n"/>
      <c r="D17" s="255" t="n"/>
      <c r="E17" s="565" t="n"/>
      <c r="F17" s="255" t="n"/>
      <c r="G17" s="565" t="n"/>
      <c r="H17" s="114" t="n"/>
      <c r="I17" s="255" t="n"/>
      <c r="J17" s="565" t="n"/>
      <c r="K17" s="255" t="n"/>
      <c r="L17" s="565" t="n"/>
      <c r="M17" s="114" t="n"/>
      <c r="N17" s="255" t="n"/>
      <c r="O17" s="565" t="n"/>
      <c r="P17" s="255" t="n"/>
      <c r="Q17" s="115" t="n"/>
      <c r="R17" s="255" t="n"/>
      <c r="S17" s="565" t="n"/>
      <c r="T17" s="255" t="n"/>
      <c r="U17" s="565" t="n"/>
      <c r="V17" s="283" t="inlineStr">
        <is>
          <t>BURGU SUSAMLI HAŞHAŞLI</t>
        </is>
      </c>
      <c r="W17" s="564" t="n"/>
      <c r="X17" s="565" t="n"/>
      <c r="Y17" s="290">
        <f>D17+I17+N17+R17</f>
        <v/>
      </c>
      <c r="Z17" s="564" t="n"/>
      <c r="AA17" s="564" t="n"/>
      <c r="AB17" s="565" t="n"/>
    </row>
    <row r="18" ht="52" customHeight="1">
      <c r="A18" s="266" t="inlineStr">
        <is>
          <t>DİYET  KURABİYELER</t>
        </is>
      </c>
      <c r="B18" s="564" t="n"/>
      <c r="C18" s="565" t="n"/>
      <c r="D18" s="267" t="n"/>
      <c r="E18" s="564" t="n"/>
      <c r="F18" s="564" t="n"/>
      <c r="G18" s="565" t="n"/>
      <c r="H18" s="114" t="n"/>
      <c r="I18" s="267" t="n"/>
      <c r="J18" s="564" t="n"/>
      <c r="K18" s="564" t="n"/>
      <c r="L18" s="565" t="n"/>
      <c r="M18" s="114" t="n"/>
      <c r="N18" s="267" t="n"/>
      <c r="O18" s="564" t="n"/>
      <c r="P18" s="565" t="n"/>
      <c r="Q18" s="115" t="n"/>
      <c r="R18" s="267" t="n"/>
      <c r="S18" s="564" t="n"/>
      <c r="T18" s="564" t="n"/>
      <c r="U18" s="565" t="n"/>
      <c r="V18" s="285" t="inlineStr">
        <is>
          <t>DİYET  KURABİYELER</t>
        </is>
      </c>
      <c r="W18" s="564" t="n"/>
      <c r="X18" s="565" t="n"/>
      <c r="Y18" s="296">
        <f>F18+H18+J18+L18+N18+P18+R18+T18</f>
        <v/>
      </c>
      <c r="Z18" s="564" t="n"/>
      <c r="AA18" s="564" t="n"/>
      <c r="AB18" s="565" t="n"/>
    </row>
    <row r="19" ht="70" customHeight="1">
      <c r="A19" s="254" t="inlineStr">
        <is>
          <t>BURGU TAHILLI</t>
        </is>
      </c>
      <c r="B19" s="564" t="n"/>
      <c r="C19" s="565" t="n"/>
      <c r="D19" s="255" t="n"/>
      <c r="E19" s="565" t="n"/>
      <c r="F19" s="255" t="n"/>
      <c r="G19" s="565" t="n"/>
      <c r="H19" s="114" t="n"/>
      <c r="I19" s="255" t="n"/>
      <c r="J19" s="565" t="n"/>
      <c r="K19" s="255" t="n"/>
      <c r="L19" s="565" t="n"/>
      <c r="M19" s="114" t="n"/>
      <c r="N19" s="255" t="n"/>
      <c r="O19" s="565" t="n"/>
      <c r="P19" s="255" t="n"/>
      <c r="Q19" s="115" t="n"/>
      <c r="R19" s="255" t="n"/>
      <c r="S19" s="565" t="n"/>
      <c r="T19" s="255" t="n"/>
      <c r="U19" s="565" t="n"/>
      <c r="V19" s="283" t="inlineStr">
        <is>
          <t>BURGU TAHILLI</t>
        </is>
      </c>
      <c r="W19" s="564" t="n"/>
      <c r="X19" s="565" t="n"/>
      <c r="Y19" s="290">
        <f>D19+I19+N19+R19</f>
        <v/>
      </c>
      <c r="Z19" s="564" t="n"/>
      <c r="AA19" s="564" t="n"/>
      <c r="AB19" s="565" t="n"/>
    </row>
    <row r="20" ht="70" customHeight="1">
      <c r="A20" s="254" t="inlineStr">
        <is>
          <t>AYÇEKİRDEKLİ  GALETA</t>
        </is>
      </c>
      <c r="B20" s="564" t="n"/>
      <c r="C20" s="565" t="n"/>
      <c r="D20" s="255" t="n"/>
      <c r="E20" s="565" t="n"/>
      <c r="F20" s="255" t="n"/>
      <c r="G20" s="565" t="n"/>
      <c r="H20" s="114" t="n"/>
      <c r="I20" s="255" t="n"/>
      <c r="J20" s="565" t="n"/>
      <c r="K20" s="255" t="n"/>
      <c r="L20" s="565" t="n"/>
      <c r="M20" s="114" t="n"/>
      <c r="N20" s="255" t="n"/>
      <c r="O20" s="565" t="n"/>
      <c r="P20" s="255" t="n"/>
      <c r="Q20" s="115" t="n"/>
      <c r="R20" s="255" t="n"/>
      <c r="S20" s="565" t="n"/>
      <c r="T20" s="255" t="n"/>
      <c r="U20" s="565" t="n"/>
      <c r="V20" s="283" t="inlineStr">
        <is>
          <t>AYÇEKİRDEKLİ  GALETA</t>
        </is>
      </c>
      <c r="W20" s="564" t="n"/>
      <c r="X20" s="565" t="n"/>
      <c r="Y20" s="290">
        <f>D20+I20+N20+R20</f>
        <v/>
      </c>
      <c r="Z20" s="564" t="n"/>
      <c r="AA20" s="564" t="n"/>
      <c r="AB20" s="565" t="n"/>
    </row>
    <row r="21" ht="70" customHeight="1">
      <c r="A21" s="254" t="inlineStr">
        <is>
          <t>PARMESAN GALETA</t>
        </is>
      </c>
      <c r="B21" s="564" t="n"/>
      <c r="C21" s="565" t="n"/>
      <c r="D21" s="255" t="n"/>
      <c r="E21" s="565" t="n"/>
      <c r="F21" s="255" t="n"/>
      <c r="G21" s="565" t="n"/>
      <c r="H21" s="114" t="n"/>
      <c r="I21" s="255" t="n"/>
      <c r="J21" s="565" t="n"/>
      <c r="K21" s="255" t="n"/>
      <c r="L21" s="565" t="n"/>
      <c r="M21" s="114" t="n"/>
      <c r="N21" s="255" t="n"/>
      <c r="O21" s="565" t="n"/>
      <c r="P21" s="255" t="n"/>
      <c r="Q21" s="115" t="n"/>
      <c r="R21" s="255" t="n"/>
      <c r="S21" s="565" t="n"/>
      <c r="T21" s="255" t="n"/>
      <c r="U21" s="565" t="n"/>
      <c r="V21" s="283" t="inlineStr">
        <is>
          <t>PARMESAN GALETA</t>
        </is>
      </c>
      <c r="W21" s="564" t="n"/>
      <c r="X21" s="565" t="n"/>
      <c r="Y21" s="290">
        <f>D21+I21+N21+R21</f>
        <v/>
      </c>
      <c r="Z21" s="564" t="n"/>
      <c r="AA21" s="564" t="n"/>
      <c r="AB21" s="565" t="n"/>
    </row>
    <row r="22" ht="70" customHeight="1">
      <c r="A22" s="254" t="inlineStr">
        <is>
          <t>İTALYAN GALETA</t>
        </is>
      </c>
      <c r="B22" s="564" t="n"/>
      <c r="C22" s="565" t="n"/>
      <c r="D22" s="255" t="n"/>
      <c r="E22" s="565" t="n"/>
      <c r="F22" s="255" t="n"/>
      <c r="G22" s="565" t="n"/>
      <c r="H22" s="114" t="n"/>
      <c r="I22" s="255" t="n"/>
      <c r="J22" s="565" t="n"/>
      <c r="K22" s="255" t="n"/>
      <c r="L22" s="565" t="n"/>
      <c r="M22" s="114" t="n"/>
      <c r="N22" s="255" t="n"/>
      <c r="O22" s="565" t="n"/>
      <c r="P22" s="255" t="n"/>
      <c r="Q22" s="115" t="n"/>
      <c r="R22" s="255" t="n"/>
      <c r="S22" s="565" t="n"/>
      <c r="T22" s="255" t="n"/>
      <c r="U22" s="565" t="n"/>
      <c r="V22" s="283" t="inlineStr">
        <is>
          <t>İTALYAN GALETA</t>
        </is>
      </c>
      <c r="W22" s="564" t="n"/>
      <c r="X22" s="565" t="n"/>
      <c r="Y22" s="290">
        <f>D22+I22+N22+R22</f>
        <v/>
      </c>
      <c r="Z22" s="564" t="n"/>
      <c r="AA22" s="564" t="n"/>
      <c r="AB22" s="565" t="n"/>
    </row>
    <row r="23" ht="70" customHeight="1">
      <c r="A23" s="254" t="inlineStr">
        <is>
          <t>BİBERİYELİ ZEYTİNLİ GALETA</t>
        </is>
      </c>
      <c r="B23" s="564" t="n"/>
      <c r="C23" s="565" t="n"/>
      <c r="D23" s="255" t="n"/>
      <c r="E23" s="565" t="n"/>
      <c r="F23" s="255" t="n"/>
      <c r="G23" s="565" t="n"/>
      <c r="H23" s="114" t="n"/>
      <c r="I23" s="255" t="n"/>
      <c r="J23" s="565" t="n"/>
      <c r="K23" s="255" t="n"/>
      <c r="L23" s="565" t="n"/>
      <c r="M23" s="114" t="n"/>
      <c r="N23" s="255" t="n"/>
      <c r="O23" s="565" t="n"/>
      <c r="P23" s="255" t="n"/>
      <c r="Q23" s="115" t="n"/>
      <c r="R23" s="255" t="n"/>
      <c r="S23" s="565" t="n"/>
      <c r="T23" s="255" t="n"/>
      <c r="U23" s="565" t="n"/>
      <c r="V23" s="283" t="inlineStr">
        <is>
          <t>BİBERİYELİ ZEYTİNLİ GALETA</t>
        </is>
      </c>
      <c r="W23" s="564" t="n"/>
      <c r="X23" s="565" t="n"/>
      <c r="Y23" s="290">
        <f>D23+I23+N23+R23</f>
        <v/>
      </c>
      <c r="Z23" s="564" t="n"/>
      <c r="AA23" s="564" t="n"/>
      <c r="AB23" s="565" t="n"/>
    </row>
    <row r="24" ht="70" customHeight="1">
      <c r="A24" s="254" t="inlineStr">
        <is>
          <t>ÇEKİRDEKLİ KOKTEYL</t>
        </is>
      </c>
      <c r="B24" s="564" t="n"/>
      <c r="C24" s="565" t="n"/>
      <c r="D24" s="255" t="n"/>
      <c r="E24" s="565" t="n"/>
      <c r="F24" s="255" t="n"/>
      <c r="G24" s="565" t="n"/>
      <c r="H24" s="114" t="n"/>
      <c r="I24" s="255" t="n"/>
      <c r="J24" s="565" t="n"/>
      <c r="K24" s="255" t="n"/>
      <c r="L24" s="565" t="n"/>
      <c r="M24" s="114" t="n"/>
      <c r="N24" s="255" t="n"/>
      <c r="O24" s="565" t="n"/>
      <c r="P24" s="255" t="n"/>
      <c r="Q24" s="115" t="n"/>
      <c r="R24" s="255" t="n"/>
      <c r="S24" s="565" t="n"/>
      <c r="T24" s="255" t="n"/>
      <c r="U24" s="565" t="n"/>
      <c r="V24" s="283" t="inlineStr">
        <is>
          <t>ÇEKİRDEKLİ KOKTEYL</t>
        </is>
      </c>
      <c r="W24" s="564" t="n"/>
      <c r="X24" s="565" t="n"/>
      <c r="Y24" s="290">
        <f>D24+I24+N24+R24</f>
        <v/>
      </c>
      <c r="Z24" s="564" t="n"/>
      <c r="AA24" s="564" t="n"/>
      <c r="AB24" s="565" t="n"/>
    </row>
    <row r="25" ht="70" customHeight="1">
      <c r="A25" s="254" t="inlineStr">
        <is>
          <t>ÜZÜMLÜ KEPEKLİ</t>
        </is>
      </c>
      <c r="B25" s="564" t="n"/>
      <c r="C25" s="565" t="n"/>
      <c r="D25" s="255" t="n"/>
      <c r="E25" s="565" t="n"/>
      <c r="F25" s="255" t="n"/>
      <c r="G25" s="565" t="n"/>
      <c r="H25" s="114" t="n"/>
      <c r="I25" s="255" t="n"/>
      <c r="J25" s="565" t="n"/>
      <c r="K25" s="255" t="n"/>
      <c r="L25" s="565" t="n"/>
      <c r="M25" s="114" t="n"/>
      <c r="N25" s="255" t="n"/>
      <c r="O25" s="565" t="n"/>
      <c r="P25" s="255" t="n"/>
      <c r="Q25" s="115" t="n"/>
      <c r="R25" s="255" t="n"/>
      <c r="S25" s="565" t="n"/>
      <c r="T25" s="255" t="n"/>
      <c r="U25" s="565" t="n"/>
      <c r="V25" s="283" t="inlineStr">
        <is>
          <t>ÜZÜMLÜ KEPEKLİ</t>
        </is>
      </c>
      <c r="W25" s="564" t="n"/>
      <c r="X25" s="565" t="n"/>
      <c r="Y25" s="290">
        <f>D25+I25+N25+R25</f>
        <v/>
      </c>
      <c r="Z25" s="564" t="n"/>
      <c r="AA25" s="564" t="n"/>
      <c r="AB25" s="565" t="n"/>
    </row>
    <row r="26" ht="70" customHeight="1">
      <c r="A26" s="254" t="inlineStr">
        <is>
          <t>ÜZÜMLÜ CEVİZLİ KEPEKLİ</t>
        </is>
      </c>
      <c r="B26" s="564" t="n"/>
      <c r="C26" s="565" t="n"/>
      <c r="D26" s="255" t="n"/>
      <c r="E26" s="565" t="n"/>
      <c r="F26" s="255" t="n"/>
      <c r="G26" s="565" t="n"/>
      <c r="H26" s="114" t="n"/>
      <c r="I26" s="255" t="n"/>
      <c r="J26" s="565" t="n"/>
      <c r="K26" s="255" t="n"/>
      <c r="L26" s="565" t="n"/>
      <c r="M26" s="114" t="n"/>
      <c r="N26" s="255" t="n"/>
      <c r="O26" s="565" t="n"/>
      <c r="P26" s="255" t="n"/>
      <c r="Q26" s="115" t="n"/>
      <c r="R26" s="255" t="n"/>
      <c r="S26" s="565" t="n"/>
      <c r="T26" s="255" t="n"/>
      <c r="U26" s="565" t="n"/>
      <c r="V26" s="283" t="inlineStr">
        <is>
          <t>ÜZÜMLÜ CEVİZLİ KEPEKLİ</t>
        </is>
      </c>
      <c r="W26" s="564" t="n"/>
      <c r="X26" s="565" t="n"/>
      <c r="Y26" s="290">
        <f>D26+I26+N26+R26</f>
        <v/>
      </c>
      <c r="Z26" s="564" t="n"/>
      <c r="AA26" s="564" t="n"/>
      <c r="AB26" s="565" t="n"/>
    </row>
    <row r="27" ht="70" customHeight="1">
      <c r="A27" s="254" t="inlineStr">
        <is>
          <t>KURU ÜZÜMLÜ YASSI TAHILLI</t>
        </is>
      </c>
      <c r="B27" s="564" t="n"/>
      <c r="C27" s="565" t="n"/>
      <c r="D27" s="255" t="n"/>
      <c r="E27" s="565" t="n"/>
      <c r="F27" s="255" t="n"/>
      <c r="G27" s="565" t="n"/>
      <c r="H27" s="114" t="n"/>
      <c r="I27" s="255" t="n"/>
      <c r="J27" s="565" t="n"/>
      <c r="K27" s="255" t="n"/>
      <c r="L27" s="565" t="n"/>
      <c r="M27" s="114" t="n"/>
      <c r="N27" s="255" t="n"/>
      <c r="O27" s="565" t="n"/>
      <c r="P27" s="255" t="n"/>
      <c r="Q27" s="115" t="n"/>
      <c r="R27" s="255" t="n"/>
      <c r="S27" s="565" t="n"/>
      <c r="T27" s="255" t="n"/>
      <c r="U27" s="565" t="n"/>
      <c r="V27" s="283" t="inlineStr">
        <is>
          <t>KURU ÜZÜMLÜ YASSI TAHILLI</t>
        </is>
      </c>
      <c r="W27" s="564" t="n"/>
      <c r="X27" s="565" t="n"/>
      <c r="Y27" s="290">
        <f>D27+I27+N27+R27</f>
        <v/>
      </c>
      <c r="Z27" s="564" t="n"/>
      <c r="AA27" s="564" t="n"/>
      <c r="AB27" s="565" t="n"/>
    </row>
    <row r="28" ht="70" customHeight="1">
      <c r="A28" s="254" t="inlineStr">
        <is>
          <t>GRANOLA BAR TEPSİ</t>
        </is>
      </c>
      <c r="B28" s="564" t="n"/>
      <c r="C28" s="565" t="n"/>
      <c r="D28" s="255" t="n"/>
      <c r="E28" s="565" t="n"/>
      <c r="F28" s="255" t="n"/>
      <c r="G28" s="565" t="n"/>
      <c r="H28" s="114" t="n"/>
      <c r="I28" s="255" t="n"/>
      <c r="J28" s="565" t="n"/>
      <c r="K28" s="255" t="n"/>
      <c r="L28" s="565" t="n"/>
      <c r="M28" s="114" t="n"/>
      <c r="N28" s="255" t="n"/>
      <c r="O28" s="565" t="n"/>
      <c r="P28" s="255" t="n"/>
      <c r="Q28" s="115" t="n"/>
      <c r="R28" s="255" t="n"/>
      <c r="S28" s="565" t="n"/>
      <c r="T28" s="255" t="n"/>
      <c r="U28" s="565" t="n"/>
      <c r="V28" s="283" t="inlineStr">
        <is>
          <t>GRANOLA BAR TEPSİ</t>
        </is>
      </c>
      <c r="W28" s="564" t="n"/>
      <c r="X28" s="565" t="n"/>
      <c r="Y28" s="290">
        <f>D28+I28+N28+R28</f>
        <v/>
      </c>
      <c r="Z28" s="564" t="n"/>
      <c r="AA28" s="564" t="n"/>
      <c r="AB28" s="565" t="n"/>
    </row>
    <row r="29" ht="70" customHeight="1">
      <c r="A29" s="254" t="inlineStr">
        <is>
          <t>TAHİNLİ SUSAMLI</t>
        </is>
      </c>
      <c r="B29" s="564" t="n"/>
      <c r="C29" s="565" t="n"/>
      <c r="D29" s="255" t="n"/>
      <c r="E29" s="565" t="n"/>
      <c r="F29" s="255" t="n"/>
      <c r="G29" s="565" t="n"/>
      <c r="H29" s="114" t="n"/>
      <c r="I29" s="255" t="n"/>
      <c r="J29" s="565" t="n"/>
      <c r="K29" s="255" t="n"/>
      <c r="L29" s="565" t="n"/>
      <c r="M29" s="114" t="n"/>
      <c r="N29" s="255" t="n"/>
      <c r="O29" s="565" t="n"/>
      <c r="P29" s="255" t="n"/>
      <c r="Q29" s="115" t="n"/>
      <c r="R29" s="255" t="n"/>
      <c r="S29" s="565" t="n"/>
      <c r="T29" s="255" t="n"/>
      <c r="U29" s="565" t="n"/>
      <c r="V29" s="283" t="inlineStr">
        <is>
          <t>TAHİNLİ SUSAMLI</t>
        </is>
      </c>
      <c r="W29" s="564" t="n"/>
      <c r="X29" s="565" t="n"/>
      <c r="Y29" s="290">
        <f>D29+I29+N29+R29</f>
        <v/>
      </c>
      <c r="Z29" s="564" t="n"/>
      <c r="AA29" s="564" t="n"/>
      <c r="AB29" s="565" t="n"/>
    </row>
    <row r="30" ht="70" customHeight="1">
      <c r="A30" s="254" t="inlineStr">
        <is>
          <t>GRANOLA DÖKME</t>
        </is>
      </c>
      <c r="B30" s="564" t="n"/>
      <c r="C30" s="565" t="n"/>
      <c r="D30" s="255" t="n"/>
      <c r="E30" s="565" t="n"/>
      <c r="F30" s="255" t="n"/>
      <c r="G30" s="565" t="n"/>
      <c r="H30" s="114" t="n"/>
      <c r="I30" s="255" t="n"/>
      <c r="J30" s="565" t="n"/>
      <c r="K30" s="255" t="n"/>
      <c r="L30" s="565" t="n"/>
      <c r="M30" s="114" t="n"/>
      <c r="N30" s="255" t="n"/>
      <c r="O30" s="565" t="n"/>
      <c r="P30" s="255" t="n"/>
      <c r="Q30" s="115" t="n"/>
      <c r="R30" s="255" t="n"/>
      <c r="S30" s="565" t="n"/>
      <c r="T30" s="255" t="n"/>
      <c r="U30" s="565" t="n"/>
      <c r="V30" s="283" t="inlineStr">
        <is>
          <t>GRANOLA DÖKME</t>
        </is>
      </c>
      <c r="W30" s="564" t="n"/>
      <c r="X30" s="565" t="n"/>
      <c r="Y30" s="290">
        <f>D30+I30+N30+R30</f>
        <v/>
      </c>
      <c r="Z30" s="564" t="n"/>
      <c r="AA30" s="564" t="n"/>
      <c r="AB30" s="565" t="n"/>
    </row>
    <row r="31" ht="70" customHeight="1" thickBot="1">
      <c r="A31" s="262" t="inlineStr">
        <is>
          <t>KALP DENGE TAHILLI</t>
        </is>
      </c>
      <c r="B31" s="567" t="n"/>
      <c r="C31" s="568" t="n"/>
      <c r="D31" s="263" t="n"/>
      <c r="E31" s="568" t="n"/>
      <c r="F31" s="263" t="n"/>
      <c r="G31" s="568" t="n"/>
      <c r="H31" s="121" t="n"/>
      <c r="I31" s="263" t="n"/>
      <c r="J31" s="568" t="n"/>
      <c r="K31" s="263" t="n"/>
      <c r="L31" s="568" t="n"/>
      <c r="M31" s="121" t="n"/>
      <c r="N31" s="263" t="n"/>
      <c r="O31" s="568" t="n"/>
      <c r="P31" s="263" t="n"/>
      <c r="Q31" s="116" t="n"/>
      <c r="R31" s="263" t="n"/>
      <c r="S31" s="568" t="n"/>
      <c r="T31" s="263" t="n"/>
      <c r="U31" s="568" t="n"/>
      <c r="V31" s="284" t="inlineStr">
        <is>
          <t>KALP DENGE TAHILLI</t>
        </is>
      </c>
      <c r="W31" s="567" t="n"/>
      <c r="X31" s="568" t="n"/>
      <c r="Y31" s="291">
        <f>D31+I31+N31+R31</f>
        <v/>
      </c>
      <c r="Z31" s="567" t="n"/>
      <c r="AA31" s="567" t="n"/>
      <c r="AB31" s="568" t="n"/>
    </row>
    <row r="32" ht="62" customFormat="1" customHeight="1" s="20" thickBot="1">
      <c r="A32" s="204" t="n"/>
      <c r="B32" s="204" t="n"/>
      <c r="C32" s="204" t="n"/>
      <c r="D32" s="613" t="inlineStr">
        <is>
          <t>Nişantaşı</t>
        </is>
      </c>
      <c r="E32" s="591" t="n"/>
      <c r="F32" s="613" t="n"/>
      <c r="G32" s="591" t="n"/>
      <c r="H32" s="98" t="n"/>
      <c r="I32" s="614" t="inlineStr">
        <is>
          <t>Fulya</t>
        </is>
      </c>
      <c r="J32" s="591" t="n"/>
      <c r="K32" s="614" t="n"/>
      <c r="L32" s="591" t="n"/>
      <c r="M32" s="98" t="n"/>
      <c r="N32" s="99" t="inlineStr">
        <is>
          <t>Maslak</t>
        </is>
      </c>
      <c r="O32" s="100" t="n"/>
      <c r="P32" s="101" t="n"/>
      <c r="Q32" s="102" t="n"/>
      <c r="R32" s="280" t="inlineStr">
        <is>
          <t>K.burnu</t>
        </is>
      </c>
      <c r="S32" s="596" t="n"/>
      <c r="T32" s="279" t="n"/>
      <c r="V32" s="76" t="n"/>
      <c r="W32" s="75" t="n"/>
      <c r="X32" s="75" t="n"/>
      <c r="Y32" s="76" t="n"/>
      <c r="Z32" s="76" t="n"/>
      <c r="AA32" s="76" t="n"/>
      <c r="AB32" s="76" t="n"/>
      <c r="AC32" s="11" t="n"/>
    </row>
    <row r="33" ht="70" customHeight="1">
      <c r="A33" s="264" t="inlineStr">
        <is>
          <t>PASKALYA</t>
        </is>
      </c>
      <c r="B33" s="584" t="n"/>
      <c r="C33" s="598" t="n"/>
      <c r="D33" s="265" t="n">
        <v>2</v>
      </c>
      <c r="E33" s="598" t="n"/>
      <c r="F33" s="255" t="n"/>
      <c r="G33" s="565" t="n"/>
      <c r="H33" s="122" t="n"/>
      <c r="I33" s="265" t="n"/>
      <c r="J33" s="598" t="n"/>
      <c r="K33" s="265" t="n"/>
      <c r="L33" s="598" t="n"/>
      <c r="M33" s="122" t="n"/>
      <c r="N33" s="265" t="n"/>
      <c r="O33" s="598" t="n"/>
      <c r="P33" s="265" t="n"/>
      <c r="Q33" s="119" t="n"/>
      <c r="R33" s="265" t="n"/>
      <c r="S33" s="598" t="n"/>
      <c r="T33" s="265" t="n"/>
      <c r="U33" s="598" t="n"/>
      <c r="V33" s="286" t="inlineStr">
        <is>
          <t>PASKALYA</t>
        </is>
      </c>
      <c r="W33" s="584" t="n"/>
      <c r="X33" s="598" t="n"/>
      <c r="Y33" s="292">
        <f>D33+I33+N33+R33</f>
        <v/>
      </c>
      <c r="Z33" s="584" t="n"/>
      <c r="AA33" s="584" t="n"/>
      <c r="AB33" s="598" t="n"/>
    </row>
    <row r="34" ht="70" customHeight="1">
      <c r="A34" s="254" t="inlineStr">
        <is>
          <t>PASKALYA ÇİKOLATALI</t>
        </is>
      </c>
      <c r="B34" s="564" t="n"/>
      <c r="C34" s="565" t="n"/>
      <c r="D34" s="255" t="n">
        <v>1</v>
      </c>
      <c r="E34" s="565" t="n"/>
      <c r="F34" s="123" t="n"/>
      <c r="G34" s="123" t="n"/>
      <c r="H34" s="114" t="n"/>
      <c r="I34" s="255" t="n"/>
      <c r="J34" s="565" t="n"/>
      <c r="K34" s="255" t="n"/>
      <c r="L34" s="565" t="n"/>
      <c r="M34" s="114" t="n"/>
      <c r="N34" s="255" t="n"/>
      <c r="O34" s="565" t="n"/>
      <c r="P34" s="255" t="n"/>
      <c r="Q34" s="115" t="n"/>
      <c r="R34" s="255" t="n"/>
      <c r="S34" s="565" t="n"/>
      <c r="T34" s="255" t="n"/>
      <c r="U34" s="565" t="n"/>
      <c r="V34" s="283" t="inlineStr">
        <is>
          <t>PASKALYA ÇİKOLATALI</t>
        </is>
      </c>
      <c r="W34" s="564" t="n"/>
      <c r="X34" s="565" t="n"/>
      <c r="Y34" s="290">
        <f>D34+I34+N34+R34</f>
        <v/>
      </c>
      <c r="Z34" s="564" t="n"/>
      <c r="AA34" s="564" t="n"/>
      <c r="AB34" s="565" t="n"/>
    </row>
    <row r="35" ht="70" customHeight="1">
      <c r="A35" s="262" t="inlineStr">
        <is>
          <t>TAHİNLİ ÇÖREK</t>
        </is>
      </c>
      <c r="B35" s="567" t="n"/>
      <c r="C35" s="568" t="n"/>
      <c r="D35" s="263" t="n">
        <v>3</v>
      </c>
      <c r="E35" s="568" t="n"/>
      <c r="F35" s="263" t="n"/>
      <c r="G35" s="568" t="n"/>
      <c r="H35" s="121" t="n"/>
      <c r="I35" s="263" t="n"/>
      <c r="J35" s="568" t="n"/>
      <c r="K35" s="263" t="n"/>
      <c r="L35" s="568" t="n"/>
      <c r="M35" s="121" t="n"/>
      <c r="N35" s="263" t="n"/>
      <c r="O35" s="568" t="n"/>
      <c r="P35" s="263" t="n"/>
      <c r="Q35" s="116" t="n"/>
      <c r="R35" s="263" t="n"/>
      <c r="S35" s="568" t="n"/>
      <c r="T35" s="263" t="n"/>
      <c r="U35" s="568" t="n"/>
      <c r="V35" s="284" t="inlineStr">
        <is>
          <t>TAHİNLİ ÇÖREK</t>
        </is>
      </c>
      <c r="W35" s="567" t="n"/>
      <c r="X35" s="568" t="n"/>
      <c r="Y35" s="291">
        <f>D35+I35+N35+R35</f>
        <v/>
      </c>
      <c r="Z35" s="567" t="n"/>
      <c r="AA35" s="567" t="n"/>
      <c r="AB35" s="568" t="n"/>
    </row>
    <row r="36" ht="12" customHeight="1">
      <c r="A36" s="205" t="n"/>
      <c r="B36" s="205" t="n"/>
      <c r="C36" s="205" t="n"/>
      <c r="D36" s="269" t="n"/>
      <c r="F36" s="269" t="n"/>
      <c r="H36" s="118" t="n"/>
      <c r="I36" s="269" t="n"/>
      <c r="K36" s="269" t="n"/>
      <c r="M36" s="118" t="n"/>
      <c r="N36" s="269" t="n"/>
      <c r="P36" s="269" t="n"/>
      <c r="Q36" s="125" t="n"/>
      <c r="R36" s="269" t="n"/>
      <c r="T36" s="269" t="n"/>
      <c r="V36" s="10" t="n"/>
      <c r="W36" s="10" t="n"/>
      <c r="X36" s="10" t="n"/>
      <c r="Y36" s="76" t="n"/>
      <c r="Z36" s="76" t="n"/>
      <c r="AA36" s="76" t="n"/>
      <c r="AB36" s="76" t="n"/>
      <c r="AC36" s="12" t="n"/>
    </row>
    <row r="37" ht="70" customHeight="1">
      <c r="A37" s="264" t="inlineStr">
        <is>
          <t>BEZE BÜYÜK</t>
        </is>
      </c>
      <c r="B37" s="584" t="n"/>
      <c r="C37" s="598" t="n"/>
      <c r="D37" s="265" t="n"/>
      <c r="E37" s="598" t="n"/>
      <c r="F37" s="265" t="n"/>
      <c r="G37" s="598" t="n"/>
      <c r="H37" s="122" t="n"/>
      <c r="I37" s="265" t="n"/>
      <c r="J37" s="598" t="n"/>
      <c r="K37" s="265" t="n"/>
      <c r="L37" s="598" t="n"/>
      <c r="M37" s="122" t="n"/>
      <c r="N37" s="265" t="n"/>
      <c r="O37" s="598" t="n"/>
      <c r="P37" s="265" t="n"/>
      <c r="Q37" s="119" t="n"/>
      <c r="R37" s="265" t="n"/>
      <c r="S37" s="598" t="n"/>
      <c r="T37" s="265" t="n"/>
      <c r="U37" s="598" t="n"/>
      <c r="V37" s="286" t="inlineStr">
        <is>
          <t>BEZE BÜYÜK</t>
        </is>
      </c>
      <c r="W37" s="584" t="n"/>
      <c r="X37" s="598" t="n"/>
      <c r="Y37" s="292">
        <f>D37+I37+N37+R37</f>
        <v/>
      </c>
      <c r="Z37" s="584" t="n"/>
      <c r="AA37" s="584" t="n"/>
      <c r="AB37" s="598" t="n"/>
    </row>
    <row r="38" ht="70" customHeight="1">
      <c r="A38" s="254" t="inlineStr">
        <is>
          <t>BEZE BEYAZ MİNİK</t>
        </is>
      </c>
      <c r="B38" s="564" t="n"/>
      <c r="C38" s="565" t="n"/>
      <c r="D38" s="255" t="n"/>
      <c r="E38" s="565" t="n"/>
      <c r="F38" s="255" t="n"/>
      <c r="G38" s="565" t="n"/>
      <c r="H38" s="114" t="n"/>
      <c r="I38" s="255" t="n"/>
      <c r="J38" s="565" t="n"/>
      <c r="K38" s="255" t="n"/>
      <c r="L38" s="565" t="n"/>
      <c r="M38" s="114" t="n"/>
      <c r="N38" s="255" t="n"/>
      <c r="O38" s="565" t="n"/>
      <c r="P38" s="255" t="n"/>
      <c r="Q38" s="115" t="n"/>
      <c r="R38" s="255" t="n"/>
      <c r="S38" s="565" t="n"/>
      <c r="T38" s="255" t="n"/>
      <c r="U38" s="565" t="n"/>
      <c r="V38" s="283" t="inlineStr">
        <is>
          <t>BEZE BEYAZ MİNİK</t>
        </is>
      </c>
      <c r="W38" s="564" t="n"/>
      <c r="X38" s="565" t="n"/>
      <c r="Y38" s="290">
        <f>D38+I38+N38+R38</f>
        <v/>
      </c>
      <c r="Z38" s="564" t="n"/>
      <c r="AA38" s="564" t="n"/>
      <c r="AB38" s="565" t="n"/>
    </row>
    <row r="39" ht="70" customHeight="1">
      <c r="A39" s="262" t="inlineStr">
        <is>
          <t>BEZE RENKLİ MİNİK</t>
        </is>
      </c>
      <c r="B39" s="567" t="n"/>
      <c r="C39" s="568" t="n"/>
      <c r="D39" s="263" t="n"/>
      <c r="E39" s="568" t="n"/>
      <c r="F39" s="263" t="n"/>
      <c r="G39" s="568" t="n"/>
      <c r="H39" s="121" t="n"/>
      <c r="I39" s="263" t="n"/>
      <c r="J39" s="568" t="n"/>
      <c r="K39" s="263" t="n"/>
      <c r="L39" s="568" t="n"/>
      <c r="M39" s="121" t="n"/>
      <c r="N39" s="263" t="n"/>
      <c r="O39" s="568" t="n"/>
      <c r="P39" s="263" t="n"/>
      <c r="Q39" s="116" t="n"/>
      <c r="R39" s="263" t="n"/>
      <c r="S39" s="568" t="n"/>
      <c r="T39" s="263" t="n"/>
      <c r="U39" s="568" t="n"/>
      <c r="V39" s="284" t="inlineStr">
        <is>
          <t>BEZE RENKLİ MİNİK</t>
        </is>
      </c>
      <c r="W39" s="567" t="n"/>
      <c r="X39" s="568" t="n"/>
      <c r="Y39" s="291">
        <f>D39+I39+N39+R39</f>
        <v/>
      </c>
      <c r="Z39" s="567" t="n"/>
      <c r="AA39" s="567" t="n"/>
      <c r="AB39" s="568" t="n"/>
    </row>
    <row r="40" ht="9" customHeight="1">
      <c r="A40" s="205" t="n"/>
      <c r="B40" s="205" t="n"/>
      <c r="C40" s="205" t="n"/>
      <c r="D40" s="269" t="n"/>
      <c r="F40" s="269" t="n"/>
      <c r="H40" s="118" t="n"/>
      <c r="I40" s="269" t="n"/>
      <c r="K40" s="269" t="n"/>
      <c r="M40" s="118" t="n"/>
      <c r="N40" s="269" t="n"/>
      <c r="P40" s="269" t="n"/>
      <c r="Q40" s="125" t="n"/>
      <c r="R40" s="269" t="n"/>
      <c r="T40" s="269" t="n"/>
      <c r="V40" s="10" t="n"/>
      <c r="W40" s="10" t="n"/>
      <c r="X40" s="10" t="n"/>
      <c r="Y40" s="76" t="n"/>
      <c r="Z40" s="76" t="n"/>
      <c r="AA40" s="76" t="n"/>
      <c r="AB40" s="76" t="n"/>
      <c r="AC40" s="12" t="n"/>
    </row>
    <row r="41" ht="70" customHeight="1">
      <c r="A41" s="264" t="inlineStr">
        <is>
          <t>ACIBADEM</t>
        </is>
      </c>
      <c r="B41" s="584" t="n"/>
      <c r="C41" s="598" t="n"/>
      <c r="D41" s="265" t="n">
        <v>12</v>
      </c>
      <c r="E41" s="598" t="n"/>
      <c r="F41" s="265" t="n"/>
      <c r="G41" s="598" t="n"/>
      <c r="H41" s="122" t="n"/>
      <c r="I41" s="265" t="n"/>
      <c r="J41" s="598" t="n"/>
      <c r="K41" s="265" t="n"/>
      <c r="L41" s="598" t="n"/>
      <c r="M41" s="122" t="n"/>
      <c r="N41" s="265" t="n"/>
      <c r="O41" s="598" t="n"/>
      <c r="P41" s="265" t="n"/>
      <c r="Q41" s="119" t="n"/>
      <c r="R41" s="265" t="n"/>
      <c r="S41" s="598" t="n"/>
      <c r="T41" s="265" t="n"/>
      <c r="U41" s="598" t="n"/>
      <c r="V41" s="286" t="inlineStr">
        <is>
          <t>ACIBADEM</t>
        </is>
      </c>
      <c r="W41" s="584" t="n"/>
      <c r="X41" s="598" t="n"/>
      <c r="Y41" s="292">
        <f>D41+I41+N41+R41</f>
        <v/>
      </c>
      <c r="Z41" s="584" t="n"/>
      <c r="AA41" s="584" t="n"/>
      <c r="AB41" s="598" t="n"/>
    </row>
    <row r="42" ht="70" customHeight="1">
      <c r="A42" s="254" t="inlineStr">
        <is>
          <t>ACIBADEM MİNİK</t>
        </is>
      </c>
      <c r="B42" s="564" t="n"/>
      <c r="C42" s="565" t="n"/>
      <c r="D42" s="255" t="n">
        <v>1.5</v>
      </c>
      <c r="E42" s="565" t="n"/>
      <c r="F42" s="255" t="n"/>
      <c r="G42" s="565" t="n"/>
      <c r="H42" s="114" t="n"/>
      <c r="I42" s="255" t="n"/>
      <c r="J42" s="565" t="n"/>
      <c r="K42" s="255" t="n"/>
      <c r="L42" s="565" t="n"/>
      <c r="M42" s="114" t="n"/>
      <c r="N42" s="255" t="n"/>
      <c r="O42" s="565" t="n"/>
      <c r="P42" s="255" t="n"/>
      <c r="Q42" s="115" t="n"/>
      <c r="R42" s="255" t="n"/>
      <c r="S42" s="565" t="n"/>
      <c r="T42" s="255" t="n"/>
      <c r="U42" s="565" t="n"/>
      <c r="V42" s="283" t="inlineStr">
        <is>
          <t>ACIBADEM MİNİK</t>
        </is>
      </c>
      <c r="W42" s="564" t="n"/>
      <c r="X42" s="565" t="n"/>
      <c r="Y42" s="290">
        <f>D42+I42+N42+R42</f>
        <v/>
      </c>
      <c r="Z42" s="564" t="n"/>
      <c r="AA42" s="564" t="n"/>
      <c r="AB42" s="565" t="n"/>
    </row>
    <row r="43" ht="70" customHeight="1">
      <c r="A43" s="262" t="inlineStr">
        <is>
          <t>AYÇÖREĞİ</t>
        </is>
      </c>
      <c r="B43" s="567" t="n"/>
      <c r="C43" s="568" t="n"/>
      <c r="D43" s="263" t="n"/>
      <c r="E43" s="568" t="n"/>
      <c r="F43" s="263" t="n"/>
      <c r="G43" s="568" t="n"/>
      <c r="H43" s="121" t="n"/>
      <c r="I43" s="263" t="n"/>
      <c r="J43" s="568" t="n"/>
      <c r="K43" s="263" t="n"/>
      <c r="L43" s="568" t="n"/>
      <c r="M43" s="121" t="n"/>
      <c r="N43" s="263" t="n"/>
      <c r="O43" s="568" t="n"/>
      <c r="P43" s="263" t="n"/>
      <c r="Q43" s="116" t="n"/>
      <c r="R43" s="263" t="n"/>
      <c r="S43" s="568" t="n"/>
      <c r="T43" s="263" t="n"/>
      <c r="U43" s="568" t="n"/>
      <c r="V43" s="284" t="inlineStr">
        <is>
          <t>AYÇÖREĞİ</t>
        </is>
      </c>
      <c r="W43" s="567" t="n"/>
      <c r="X43" s="568" t="n"/>
      <c r="Y43" s="291">
        <f>D43+I43+N43+R43</f>
        <v/>
      </c>
      <c r="Z43" s="567" t="n"/>
      <c r="AA43" s="567" t="n"/>
      <c r="AB43" s="568" t="n"/>
    </row>
    <row r="44" ht="44" customFormat="1" customHeight="1" s="104">
      <c r="A44" s="268" t="inlineStr">
        <is>
          <t>BATONSALE ÇEŞİTLERİ</t>
        </is>
      </c>
      <c r="D44" s="269" t="n"/>
      <c r="H44" s="126" t="n"/>
      <c r="I44" s="269" t="n"/>
      <c r="M44" s="126" t="n"/>
      <c r="N44" s="269" t="n"/>
      <c r="Q44" s="127" t="n"/>
      <c r="R44" s="278" t="n"/>
      <c r="V44" s="295" t="inlineStr">
        <is>
          <t>BATONSALE ÇEŞİTLERİ</t>
        </is>
      </c>
      <c r="Y44" s="295" t="n"/>
    </row>
    <row r="45" ht="70" customHeight="1">
      <c r="A45" s="264" t="inlineStr">
        <is>
          <t>BATONSALE SADE</t>
        </is>
      </c>
      <c r="B45" s="584" t="n"/>
      <c r="C45" s="598" t="n"/>
      <c r="D45" s="265" t="n"/>
      <c r="E45" s="598" t="n"/>
      <c r="F45" s="265" t="n"/>
      <c r="G45" s="598" t="n"/>
      <c r="H45" s="122" t="n"/>
      <c r="I45" s="265" t="n"/>
      <c r="J45" s="598" t="n"/>
      <c r="K45" s="265" t="n"/>
      <c r="L45" s="598" t="n"/>
      <c r="M45" s="122" t="n"/>
      <c r="N45" s="265" t="n"/>
      <c r="O45" s="598" t="n"/>
      <c r="P45" s="265" t="n"/>
      <c r="Q45" s="119" t="n"/>
      <c r="R45" s="265" t="n"/>
      <c r="S45" s="598" t="n"/>
      <c r="T45" s="265" t="n"/>
      <c r="U45" s="598" t="n"/>
      <c r="V45" s="286" t="inlineStr">
        <is>
          <t>BATONSALE SADE</t>
        </is>
      </c>
      <c r="W45" s="584" t="n"/>
      <c r="X45" s="598" t="n"/>
      <c r="Y45" s="292">
        <f>D45+I45+N45+R45</f>
        <v/>
      </c>
      <c r="Z45" s="584" t="n"/>
      <c r="AA45" s="584" t="n"/>
      <c r="AB45" s="598" t="n"/>
    </row>
    <row r="46" ht="70" customHeight="1">
      <c r="A46" s="254" t="inlineStr">
        <is>
          <t>BATONSALE ÇÖREKOTLU</t>
        </is>
      </c>
      <c r="B46" s="564" t="n"/>
      <c r="C46" s="565" t="n"/>
      <c r="D46" s="255" t="n">
        <v>2</v>
      </c>
      <c r="E46" s="565" t="n"/>
      <c r="F46" s="255" t="n"/>
      <c r="G46" s="565" t="n"/>
      <c r="H46" s="114" t="n"/>
      <c r="I46" s="255" t="n"/>
      <c r="J46" s="565" t="n"/>
      <c r="K46" s="255" t="n"/>
      <c r="L46" s="565" t="n"/>
      <c r="M46" s="114" t="n"/>
      <c r="N46" s="255" t="n"/>
      <c r="O46" s="565" t="n"/>
      <c r="P46" s="255" t="n"/>
      <c r="Q46" s="115" t="n"/>
      <c r="R46" s="255" t="n"/>
      <c r="S46" s="565" t="n"/>
      <c r="T46" s="255" t="n"/>
      <c r="U46" s="565" t="n"/>
      <c r="V46" s="283" t="inlineStr">
        <is>
          <t>BATONSALE ÇÖREKOTLU</t>
        </is>
      </c>
      <c r="W46" s="564" t="n"/>
      <c r="X46" s="565" t="n"/>
      <c r="Y46" s="290">
        <f>D46+I46+N46+R46</f>
        <v/>
      </c>
      <c r="Z46" s="564" t="n"/>
      <c r="AA46" s="564" t="n"/>
      <c r="AB46" s="565" t="n"/>
    </row>
    <row r="47" ht="70" customHeight="1">
      <c r="A47" s="254" t="inlineStr">
        <is>
          <t>BATONSALE KAŞARLI</t>
        </is>
      </c>
      <c r="B47" s="564" t="n"/>
      <c r="C47" s="565" t="n"/>
      <c r="D47" s="255" t="n">
        <v>2</v>
      </c>
      <c r="E47" s="565" t="n"/>
      <c r="F47" s="255" t="n"/>
      <c r="G47" s="565" t="n"/>
      <c r="H47" s="114" t="n"/>
      <c r="I47" s="255" t="n"/>
      <c r="J47" s="565" t="n"/>
      <c r="K47" s="255" t="n"/>
      <c r="L47" s="565" t="n"/>
      <c r="M47" s="114" t="n"/>
      <c r="N47" s="255" t="n"/>
      <c r="O47" s="565" t="n"/>
      <c r="P47" s="255" t="n"/>
      <c r="Q47" s="115" t="n"/>
      <c r="R47" s="255" t="n"/>
      <c r="S47" s="565" t="n"/>
      <c r="T47" s="255" t="n"/>
      <c r="U47" s="565" t="n"/>
      <c r="V47" s="283" t="inlineStr">
        <is>
          <t>BATONSALE KAŞARLI</t>
        </is>
      </c>
      <c r="W47" s="564" t="n"/>
      <c r="X47" s="565" t="n"/>
      <c r="Y47" s="290">
        <f>D47+I47+N47+R47</f>
        <v/>
      </c>
      <c r="Z47" s="564" t="n"/>
      <c r="AA47" s="564" t="n"/>
      <c r="AB47" s="565" t="n"/>
    </row>
    <row r="48" ht="70" customHeight="1">
      <c r="A48" s="254" t="inlineStr">
        <is>
          <t>BATONSALE SUSAMLI</t>
        </is>
      </c>
      <c r="B48" s="564" t="n"/>
      <c r="C48" s="565" t="n"/>
      <c r="D48" s="255" t="n"/>
      <c r="E48" s="565" t="n"/>
      <c r="F48" s="255" t="n"/>
      <c r="G48" s="565" t="n"/>
      <c r="H48" s="114" t="n"/>
      <c r="I48" s="255" t="n"/>
      <c r="J48" s="565" t="n"/>
      <c r="K48" s="255" t="n"/>
      <c r="L48" s="565" t="n"/>
      <c r="M48" s="114" t="n"/>
      <c r="N48" s="255" t="n"/>
      <c r="O48" s="565" t="n"/>
      <c r="P48" s="255" t="n"/>
      <c r="Q48" s="115" t="n"/>
      <c r="R48" s="255" t="n"/>
      <c r="S48" s="565" t="n"/>
      <c r="T48" s="255" t="n"/>
      <c r="U48" s="565" t="n"/>
      <c r="V48" s="283" t="inlineStr">
        <is>
          <t>BATONSALE SUSAMLI</t>
        </is>
      </c>
      <c r="W48" s="564" t="n"/>
      <c r="X48" s="565" t="n"/>
      <c r="Y48" s="290">
        <f>D48+I48+N48+R48</f>
        <v/>
      </c>
      <c r="Z48" s="564" t="n"/>
      <c r="AA48" s="564" t="n"/>
      <c r="AB48" s="565" t="n"/>
    </row>
    <row r="49" ht="70" customHeight="1">
      <c r="A49" s="254" t="inlineStr">
        <is>
          <t>BATONSALE ANASONLU</t>
        </is>
      </c>
      <c r="B49" s="564" t="n"/>
      <c r="C49" s="565" t="n"/>
      <c r="D49" s="255" t="n"/>
      <c r="E49" s="565" t="n"/>
      <c r="F49" s="255" t="n"/>
      <c r="G49" s="565" t="n"/>
      <c r="H49" s="114" t="n"/>
      <c r="I49" s="255" t="n"/>
      <c r="J49" s="565" t="n"/>
      <c r="K49" s="255" t="n"/>
      <c r="L49" s="565" t="n"/>
      <c r="M49" s="114" t="n"/>
      <c r="N49" s="255" t="n"/>
      <c r="O49" s="565" t="n"/>
      <c r="P49" s="255" t="n"/>
      <c r="Q49" s="115" t="n"/>
      <c r="R49" s="255" t="n"/>
      <c r="S49" s="565" t="n"/>
      <c r="T49" s="255" t="n"/>
      <c r="U49" s="565" t="n"/>
      <c r="V49" s="283" t="inlineStr">
        <is>
          <t>BATONSALE ANASONLU</t>
        </is>
      </c>
      <c r="W49" s="564" t="n"/>
      <c r="X49" s="565" t="n"/>
      <c r="Y49" s="290">
        <f>D49+I49+N49+R49</f>
        <v/>
      </c>
      <c r="Z49" s="564" t="n"/>
      <c r="AA49" s="564" t="n"/>
      <c r="AB49" s="565" t="n"/>
    </row>
    <row r="50" ht="70" customHeight="1">
      <c r="A50" s="254" t="inlineStr">
        <is>
          <t>KIRIK KIRAK SUSAMLI</t>
        </is>
      </c>
      <c r="B50" s="564" t="n"/>
      <c r="C50" s="565" t="n"/>
      <c r="D50" s="255" t="n"/>
      <c r="E50" s="565" t="n"/>
      <c r="F50" s="255" t="n"/>
      <c r="G50" s="565" t="n"/>
      <c r="H50" s="114" t="n"/>
      <c r="I50" s="255" t="n"/>
      <c r="J50" s="565" t="n"/>
      <c r="K50" s="255" t="n"/>
      <c r="L50" s="565" t="n"/>
      <c r="M50" s="114" t="n"/>
      <c r="N50" s="255" t="n"/>
      <c r="O50" s="565" t="n"/>
      <c r="P50" s="255" t="n"/>
      <c r="Q50" s="115" t="n"/>
      <c r="R50" s="255" t="n"/>
      <c r="S50" s="565" t="n"/>
      <c r="T50" s="255" t="n"/>
      <c r="U50" s="565" t="n"/>
      <c r="V50" s="283" t="inlineStr">
        <is>
          <t>KIRIK KIRAK SUSAMLI</t>
        </is>
      </c>
      <c r="W50" s="564" t="n"/>
      <c r="X50" s="565" t="n"/>
      <c r="Y50" s="290">
        <f>D50+I50+N50+R50</f>
        <v/>
      </c>
      <c r="Z50" s="564" t="n"/>
      <c r="AA50" s="564" t="n"/>
      <c r="AB50" s="565" t="n"/>
    </row>
    <row r="51" ht="41" customFormat="1" customHeight="1" s="97">
      <c r="A51" s="270" t="inlineStr">
        <is>
          <t>GALETA ÇEŞİTLERİ</t>
        </is>
      </c>
      <c r="B51" s="564" t="n"/>
      <c r="C51" s="565" t="n"/>
      <c r="D51" s="267" t="n"/>
      <c r="E51" s="564" t="n"/>
      <c r="F51" s="564" t="n"/>
      <c r="G51" s="565" t="n"/>
      <c r="H51" s="114" t="n"/>
      <c r="I51" s="267" t="n"/>
      <c r="J51" s="564" t="n"/>
      <c r="K51" s="564" t="n"/>
      <c r="L51" s="565" t="n"/>
      <c r="M51" s="114" t="n"/>
      <c r="N51" s="267" t="n"/>
      <c r="O51" s="564" t="n"/>
      <c r="P51" s="565" t="n"/>
      <c r="Q51" s="115" t="n"/>
      <c r="R51" s="267" t="n"/>
      <c r="S51" s="564" t="n"/>
      <c r="T51" s="564" t="n"/>
      <c r="U51" s="565" t="n"/>
      <c r="V51" s="293" t="inlineStr">
        <is>
          <t>GALETA ÇEŞİTLERİ</t>
        </is>
      </c>
      <c r="W51" s="564" t="n"/>
      <c r="X51" s="565" t="n"/>
      <c r="Y51" s="294" t="n"/>
      <c r="Z51" s="564" t="n"/>
      <c r="AA51" s="564" t="n"/>
      <c r="AB51" s="565" t="n"/>
    </row>
    <row r="52" ht="70" customHeight="1">
      <c r="A52" s="254" t="inlineStr">
        <is>
          <t>GALET KAŞARLI</t>
        </is>
      </c>
      <c r="B52" s="564" t="n"/>
      <c r="C52" s="565" t="n"/>
      <c r="D52" s="255" t="n"/>
      <c r="E52" s="565" t="n"/>
      <c r="F52" s="255" t="n"/>
      <c r="G52" s="565" t="n"/>
      <c r="H52" s="114" t="n"/>
      <c r="I52" s="255" t="n"/>
      <c r="J52" s="565" t="n"/>
      <c r="K52" s="255" t="n"/>
      <c r="L52" s="565" t="n"/>
      <c r="M52" s="114" t="n"/>
      <c r="N52" s="255" t="n"/>
      <c r="O52" s="565" t="n"/>
      <c r="P52" s="255" t="n"/>
      <c r="Q52" s="115" t="n"/>
      <c r="R52" s="255" t="n"/>
      <c r="S52" s="565" t="n"/>
      <c r="T52" s="255" t="n"/>
      <c r="U52" s="565" t="n"/>
      <c r="V52" s="283" t="inlineStr">
        <is>
          <t>GALET KAŞARLI</t>
        </is>
      </c>
      <c r="W52" s="564" t="n"/>
      <c r="X52" s="565" t="n"/>
      <c r="Y52" s="290">
        <f>D52+I52+N52+R52</f>
        <v/>
      </c>
      <c r="Z52" s="564" t="n"/>
      <c r="AA52" s="564" t="n"/>
      <c r="AB52" s="565" t="n"/>
    </row>
    <row r="53" ht="70" customHeight="1">
      <c r="A53" s="254" t="inlineStr">
        <is>
          <t>GALET ÇÖREKOTLU</t>
        </is>
      </c>
      <c r="B53" s="564" t="n"/>
      <c r="C53" s="565" t="n"/>
      <c r="D53" s="255" t="n"/>
      <c r="E53" s="565" t="n"/>
      <c r="F53" s="255" t="n"/>
      <c r="G53" s="565" t="n"/>
      <c r="H53" s="114" t="n"/>
      <c r="I53" s="255" t="n"/>
      <c r="J53" s="565" t="n"/>
      <c r="K53" s="255" t="n"/>
      <c r="L53" s="565" t="n"/>
      <c r="M53" s="114" t="n"/>
      <c r="N53" s="255" t="n"/>
      <c r="O53" s="565" t="n"/>
      <c r="P53" s="255" t="n"/>
      <c r="Q53" s="115" t="n"/>
      <c r="R53" s="255" t="n"/>
      <c r="S53" s="565" t="n"/>
      <c r="T53" s="255" t="n"/>
      <c r="U53" s="565" t="n"/>
      <c r="V53" s="283" t="inlineStr">
        <is>
          <t>GALET ÇÖREKOTLU</t>
        </is>
      </c>
      <c r="W53" s="564" t="n"/>
      <c r="X53" s="565" t="n"/>
      <c r="Y53" s="290">
        <f>D53+I53+N53+R53</f>
        <v/>
      </c>
      <c r="Z53" s="564" t="n"/>
      <c r="AA53" s="564" t="n"/>
      <c r="AB53" s="565" t="n"/>
    </row>
    <row r="54" ht="70" customHeight="1">
      <c r="A54" s="254" t="inlineStr">
        <is>
          <t>GALET SUSAMLI</t>
        </is>
      </c>
      <c r="B54" s="564" t="n"/>
      <c r="C54" s="565" t="n"/>
      <c r="D54" s="255" t="n"/>
      <c r="E54" s="565" t="n"/>
      <c r="F54" s="255" t="n"/>
      <c r="G54" s="565" t="n"/>
      <c r="H54" s="114" t="n"/>
      <c r="I54" s="255" t="n"/>
      <c r="J54" s="565" t="n"/>
      <c r="K54" s="255" t="n"/>
      <c r="L54" s="565" t="n"/>
      <c r="M54" s="114" t="n"/>
      <c r="N54" s="255" t="n"/>
      <c r="O54" s="565" t="n"/>
      <c r="P54" s="255" t="n"/>
      <c r="Q54" s="115" t="n"/>
      <c r="R54" s="255" t="n"/>
      <c r="S54" s="565" t="n"/>
      <c r="T54" s="255" t="n"/>
      <c r="U54" s="565" t="n"/>
      <c r="V54" s="283" t="inlineStr">
        <is>
          <t>GALET SUSAMLI</t>
        </is>
      </c>
      <c r="W54" s="564" t="n"/>
      <c r="X54" s="565" t="n"/>
      <c r="Y54" s="290">
        <f>D54+I54+N54+R54</f>
        <v/>
      </c>
      <c r="Z54" s="564" t="n"/>
      <c r="AA54" s="564" t="n"/>
      <c r="AB54" s="565" t="n"/>
    </row>
    <row r="55" ht="70" customHeight="1">
      <c r="A55" s="254" t="inlineStr">
        <is>
          <t>GALET ANASONLU</t>
        </is>
      </c>
      <c r="B55" s="564" t="n"/>
      <c r="C55" s="565" t="n"/>
      <c r="D55" s="255" t="n"/>
      <c r="E55" s="565" t="n"/>
      <c r="F55" s="255" t="n"/>
      <c r="G55" s="565" t="n"/>
      <c r="H55" s="114" t="n"/>
      <c r="I55" s="255" t="n"/>
      <c r="J55" s="565" t="n"/>
      <c r="K55" s="255" t="n"/>
      <c r="L55" s="565" t="n"/>
      <c r="M55" s="114" t="n"/>
      <c r="N55" s="255" t="n"/>
      <c r="O55" s="565" t="n"/>
      <c r="P55" s="255" t="n"/>
      <c r="Q55" s="115" t="n"/>
      <c r="R55" s="255" t="n"/>
      <c r="S55" s="565" t="n"/>
      <c r="T55" s="255" t="n"/>
      <c r="U55" s="565" t="n"/>
      <c r="V55" s="283" t="inlineStr">
        <is>
          <t>GALET ANASONLU</t>
        </is>
      </c>
      <c r="W55" s="564" t="n"/>
      <c r="X55" s="565" t="n"/>
      <c r="Y55" s="290">
        <f>D55+I55+N55+R55</f>
        <v/>
      </c>
      <c r="Z55" s="564" t="n"/>
      <c r="AA55" s="564" t="n"/>
      <c r="AB55" s="565" t="n"/>
    </row>
    <row r="56" ht="42" customFormat="1" customHeight="1" s="104">
      <c r="A56" s="270" t="inlineStr">
        <is>
          <t>KITIR ÇEŞİTLERİ</t>
        </is>
      </c>
      <c r="B56" s="564" t="n"/>
      <c r="C56" s="565" t="n"/>
      <c r="D56" s="267" t="n"/>
      <c r="E56" s="564" t="n"/>
      <c r="F56" s="564" t="n"/>
      <c r="G56" s="565" t="n"/>
      <c r="H56" s="114" t="n"/>
      <c r="I56" s="267" t="n"/>
      <c r="J56" s="564" t="n"/>
      <c r="K56" s="564" t="n"/>
      <c r="L56" s="565" t="n"/>
      <c r="M56" s="114" t="n"/>
      <c r="N56" s="267" t="n"/>
      <c r="O56" s="564" t="n"/>
      <c r="P56" s="565" t="n"/>
      <c r="Q56" s="128" t="n"/>
      <c r="R56" s="282" t="n"/>
      <c r="S56" s="564" t="n"/>
      <c r="T56" s="564" t="n"/>
      <c r="U56" s="565" t="n"/>
      <c r="V56" s="294" t="inlineStr">
        <is>
          <t>KITIR ÇEŞİTLERİ</t>
        </is>
      </c>
      <c r="W56" s="564" t="n"/>
      <c r="X56" s="565" t="n"/>
      <c r="Y56" s="294" t="n"/>
      <c r="Z56" s="564" t="n"/>
      <c r="AA56" s="564" t="n"/>
      <c r="AB56" s="565" t="n"/>
    </row>
    <row r="57" ht="70" customHeight="1">
      <c r="A57" s="254" t="inlineStr">
        <is>
          <t>BAHARATLI KITIR</t>
        </is>
      </c>
      <c r="B57" s="564" t="n"/>
      <c r="C57" s="565" t="n"/>
      <c r="D57" s="255" t="n"/>
      <c r="E57" s="565" t="n"/>
      <c r="F57" s="255" t="n"/>
      <c r="G57" s="565" t="n"/>
      <c r="H57" s="114" t="n"/>
      <c r="I57" s="255" t="n"/>
      <c r="J57" s="565" t="n"/>
      <c r="K57" s="255" t="n"/>
      <c r="L57" s="565" t="n"/>
      <c r="M57" s="114" t="n"/>
      <c r="N57" s="255" t="n"/>
      <c r="O57" s="565" t="n"/>
      <c r="P57" s="255" t="n"/>
      <c r="Q57" s="115" t="n"/>
      <c r="R57" s="255" t="n"/>
      <c r="S57" s="565" t="n"/>
      <c r="T57" s="255" t="n"/>
      <c r="U57" s="565" t="n"/>
      <c r="V57" s="283" t="inlineStr">
        <is>
          <t>BAHARATLI KITIR</t>
        </is>
      </c>
      <c r="W57" s="564" t="n"/>
      <c r="X57" s="565" t="n"/>
      <c r="Y57" s="290">
        <f>D57+I57+N57+R57</f>
        <v/>
      </c>
      <c r="Z57" s="564" t="n"/>
      <c r="AA57" s="564" t="n"/>
      <c r="AB57" s="565" t="n"/>
    </row>
    <row r="58" ht="70" customHeight="1">
      <c r="A58" s="254" t="inlineStr">
        <is>
          <t>KAŞARLI KITIR</t>
        </is>
      </c>
      <c r="B58" s="564" t="n"/>
      <c r="C58" s="565" t="n"/>
      <c r="D58" s="255" t="n"/>
      <c r="E58" s="565" t="n"/>
      <c r="F58" s="255" t="n"/>
      <c r="G58" s="565" t="n"/>
      <c r="H58" s="114" t="n"/>
      <c r="I58" s="255" t="n"/>
      <c r="J58" s="565" t="n"/>
      <c r="K58" s="255" t="n"/>
      <c r="L58" s="565" t="n"/>
      <c r="M58" s="114" t="n"/>
      <c r="N58" s="255" t="n"/>
      <c r="O58" s="565" t="n"/>
      <c r="P58" s="255" t="n"/>
      <c r="Q58" s="115" t="n"/>
      <c r="R58" s="255" t="n"/>
      <c r="S58" s="565" t="n"/>
      <c r="T58" s="255" t="n"/>
      <c r="U58" s="565" t="n"/>
      <c r="V58" s="283" t="inlineStr">
        <is>
          <t>KAŞARLI KITIR</t>
        </is>
      </c>
      <c r="W58" s="564" t="n"/>
      <c r="X58" s="565" t="n"/>
      <c r="Y58" s="290">
        <f>D58+I58+N58+R58</f>
        <v/>
      </c>
      <c r="Z58" s="564" t="n"/>
      <c r="AA58" s="564" t="n"/>
      <c r="AB58" s="565" t="n"/>
    </row>
    <row r="59" ht="70" customHeight="1">
      <c r="A59" s="254" t="inlineStr">
        <is>
          <t>ZENCEFİLLİ KITIR</t>
        </is>
      </c>
      <c r="B59" s="564" t="n"/>
      <c r="C59" s="565" t="n"/>
      <c r="D59" s="255" t="n"/>
      <c r="E59" s="565" t="n"/>
      <c r="F59" s="255" t="n"/>
      <c r="G59" s="565" t="n"/>
      <c r="H59" s="114" t="n"/>
      <c r="I59" s="255" t="n"/>
      <c r="J59" s="565" t="n"/>
      <c r="K59" s="255" t="n"/>
      <c r="L59" s="565" t="n"/>
      <c r="M59" s="114" t="n"/>
      <c r="N59" s="255" t="n"/>
      <c r="O59" s="565" t="n"/>
      <c r="P59" s="255" t="n"/>
      <c r="Q59" s="115" t="n"/>
      <c r="R59" s="255" t="n"/>
      <c r="S59" s="565" t="n"/>
      <c r="T59" s="255" t="n"/>
      <c r="U59" s="565" t="n"/>
      <c r="V59" s="283" t="inlineStr">
        <is>
          <t>ZENCEFİLLİ KITIR</t>
        </is>
      </c>
      <c r="W59" s="564" t="n"/>
      <c r="X59" s="565" t="n"/>
      <c r="Y59" s="290">
        <f>D59+I59+N59+R59</f>
        <v/>
      </c>
      <c r="Z59" s="564" t="n"/>
      <c r="AA59" s="564" t="n"/>
      <c r="AB59" s="565" t="n"/>
    </row>
    <row r="60" ht="70" customHeight="1">
      <c r="A60" s="254" t="inlineStr">
        <is>
          <t>ACILI KITIR</t>
        </is>
      </c>
      <c r="B60" s="564" t="n"/>
      <c r="C60" s="565" t="n"/>
      <c r="D60" s="255" t="n"/>
      <c r="E60" s="565" t="n"/>
      <c r="F60" s="255" t="n"/>
      <c r="G60" s="565" t="n"/>
      <c r="H60" s="114" t="n"/>
      <c r="I60" s="255" t="n"/>
      <c r="J60" s="565" t="n"/>
      <c r="K60" s="255" t="n"/>
      <c r="L60" s="565" t="n"/>
      <c r="M60" s="114" t="n"/>
      <c r="N60" s="255" t="n"/>
      <c r="O60" s="565" t="n"/>
      <c r="P60" s="255" t="n"/>
      <c r="Q60" s="115" t="n"/>
      <c r="R60" s="255" t="n"/>
      <c r="S60" s="565" t="n"/>
      <c r="T60" s="255" t="n"/>
      <c r="U60" s="565" t="n"/>
      <c r="V60" s="283" t="inlineStr">
        <is>
          <t>ACILI KITIR</t>
        </is>
      </c>
      <c r="W60" s="564" t="n"/>
      <c r="X60" s="565" t="n"/>
      <c r="Y60" s="290">
        <f>D60+I60+N60+R60</f>
        <v/>
      </c>
      <c r="Z60" s="564" t="n"/>
      <c r="AA60" s="564" t="n"/>
      <c r="AB60" s="565" t="n"/>
    </row>
    <row r="61" ht="46" customFormat="1" customHeight="1" s="104">
      <c r="A61" s="270" t="inlineStr">
        <is>
          <t>CİPS ÇEŞİTLERİ</t>
        </is>
      </c>
      <c r="B61" s="564" t="n"/>
      <c r="C61" s="565" t="n"/>
      <c r="D61" s="267" t="n"/>
      <c r="E61" s="564" t="n"/>
      <c r="F61" s="564" t="n"/>
      <c r="G61" s="565" t="n"/>
      <c r="H61" s="114" t="n"/>
      <c r="I61" s="267" t="n"/>
      <c r="J61" s="564" t="n"/>
      <c r="K61" s="564" t="n"/>
      <c r="L61" s="565" t="n"/>
      <c r="M61" s="114" t="n"/>
      <c r="N61" s="267" t="n"/>
      <c r="O61" s="564" t="n"/>
      <c r="P61" s="565" t="n"/>
      <c r="Q61" s="128" t="n"/>
      <c r="R61" s="282" t="n"/>
      <c r="S61" s="564" t="n"/>
      <c r="T61" s="564" t="n"/>
      <c r="U61" s="565" t="n"/>
      <c r="V61" s="294" t="inlineStr">
        <is>
          <t>CİPS ÇEŞİTLERİ</t>
        </is>
      </c>
      <c r="W61" s="564" t="n"/>
      <c r="X61" s="565" t="n"/>
      <c r="Y61" s="294" t="n"/>
      <c r="Z61" s="564" t="n"/>
      <c r="AA61" s="564" t="n"/>
      <c r="AB61" s="565" t="n"/>
    </row>
    <row r="62" ht="70" customHeight="1">
      <c r="A62" s="254" t="inlineStr">
        <is>
          <t>HAŞHAŞLI CİPS</t>
        </is>
      </c>
      <c r="B62" s="564" t="n"/>
      <c r="C62" s="565" t="n"/>
      <c r="D62" s="255" t="n"/>
      <c r="E62" s="565" t="n"/>
      <c r="F62" s="255" t="n"/>
      <c r="G62" s="565" t="n"/>
      <c r="H62" s="114" t="n"/>
      <c r="I62" s="255" t="n"/>
      <c r="J62" s="565" t="n"/>
      <c r="K62" s="255" t="n"/>
      <c r="L62" s="565" t="n"/>
      <c r="M62" s="114" t="n"/>
      <c r="N62" s="255" t="n"/>
      <c r="O62" s="565" t="n"/>
      <c r="P62" s="255" t="n"/>
      <c r="Q62" s="115" t="n"/>
      <c r="R62" s="255" t="n"/>
      <c r="S62" s="565" t="n"/>
      <c r="T62" s="255" t="n"/>
      <c r="U62" s="565" t="n"/>
      <c r="V62" s="283" t="inlineStr">
        <is>
          <t>HAŞHAŞLI CİPS</t>
        </is>
      </c>
      <c r="W62" s="564" t="n"/>
      <c r="X62" s="565" t="n"/>
      <c r="Y62" s="290">
        <f>D62+I62+N62+R62</f>
        <v/>
      </c>
      <c r="Z62" s="564" t="n"/>
      <c r="AA62" s="564" t="n"/>
      <c r="AB62" s="565" t="n"/>
    </row>
    <row r="63" ht="70" customHeight="1">
      <c r="A63" s="254" t="inlineStr">
        <is>
          <t>İRMİKLİ CİPS</t>
        </is>
      </c>
      <c r="B63" s="564" t="n"/>
      <c r="C63" s="565" t="n"/>
      <c r="D63" s="255" t="n"/>
      <c r="E63" s="565" t="n"/>
      <c r="F63" s="255" t="n"/>
      <c r="G63" s="565" t="n"/>
      <c r="H63" s="114" t="n"/>
      <c r="I63" s="255" t="n"/>
      <c r="J63" s="565" t="n"/>
      <c r="K63" s="255" t="n"/>
      <c r="L63" s="565" t="n"/>
      <c r="M63" s="114" t="n"/>
      <c r="N63" s="255" t="n"/>
      <c r="O63" s="565" t="n"/>
      <c r="P63" s="255" t="n"/>
      <c r="Q63" s="115" t="n"/>
      <c r="R63" s="255" t="n"/>
      <c r="S63" s="565" t="n"/>
      <c r="T63" s="255" t="n"/>
      <c r="U63" s="565" t="n"/>
      <c r="V63" s="283" t="inlineStr">
        <is>
          <t>İRMİKLİ CİPS</t>
        </is>
      </c>
      <c r="W63" s="564" t="n"/>
      <c r="X63" s="565" t="n"/>
      <c r="Y63" s="290">
        <f>D63+I63+N63+R63</f>
        <v/>
      </c>
      <c r="Z63" s="564" t="n"/>
      <c r="AA63" s="564" t="n"/>
      <c r="AB63" s="565" t="n"/>
    </row>
    <row r="64" ht="70" customHeight="1">
      <c r="A64" s="254" t="inlineStr">
        <is>
          <t>PARMESANLI CİPS</t>
        </is>
      </c>
      <c r="B64" s="564" t="n"/>
      <c r="C64" s="565" t="n"/>
      <c r="D64" s="255" t="n"/>
      <c r="E64" s="565" t="n"/>
      <c r="F64" s="255" t="n"/>
      <c r="G64" s="565" t="n"/>
      <c r="H64" s="114" t="n"/>
      <c r="I64" s="255" t="n"/>
      <c r="J64" s="565" t="n"/>
      <c r="K64" s="255" t="n"/>
      <c r="L64" s="565" t="n"/>
      <c r="M64" s="114" t="n"/>
      <c r="N64" s="255" t="n"/>
      <c r="O64" s="565" t="n"/>
      <c r="P64" s="255" t="n"/>
      <c r="Q64" s="115" t="n"/>
      <c r="R64" s="255" t="n"/>
      <c r="S64" s="565" t="n"/>
      <c r="T64" s="255" t="n"/>
      <c r="U64" s="565" t="n"/>
      <c r="V64" s="283" t="inlineStr">
        <is>
          <t>PARMESANLI CİPS</t>
        </is>
      </c>
      <c r="W64" s="564" t="n"/>
      <c r="X64" s="565" t="n"/>
      <c r="Y64" s="290">
        <f>D64+I64+N64+R64</f>
        <v/>
      </c>
      <c r="Z64" s="564" t="n"/>
      <c r="AA64" s="564" t="n"/>
      <c r="AB64" s="565" t="n"/>
    </row>
    <row r="65" ht="70" customHeight="1">
      <c r="A65" s="254" t="inlineStr">
        <is>
          <t>TAM BUĞDAY CİPS</t>
        </is>
      </c>
      <c r="B65" s="564" t="n"/>
      <c r="C65" s="565" t="n"/>
      <c r="D65" s="255" t="n"/>
      <c r="E65" s="565" t="n"/>
      <c r="F65" s="255" t="n"/>
      <c r="G65" s="565" t="n"/>
      <c r="H65" s="114" t="n"/>
      <c r="I65" s="255" t="n"/>
      <c r="J65" s="565" t="n"/>
      <c r="K65" s="255" t="n"/>
      <c r="L65" s="565" t="n"/>
      <c r="M65" s="114" t="n"/>
      <c r="N65" s="255" t="n"/>
      <c r="O65" s="565" t="n"/>
      <c r="P65" s="255" t="n"/>
      <c r="Q65" s="115" t="n"/>
      <c r="R65" s="255" t="n"/>
      <c r="S65" s="565" t="n"/>
      <c r="T65" s="255" t="n"/>
      <c r="U65" s="565" t="n"/>
      <c r="V65" s="283" t="inlineStr">
        <is>
          <t>TAM BUĞDAY CİPS</t>
        </is>
      </c>
      <c r="W65" s="564" t="n"/>
      <c r="X65" s="565" t="n"/>
      <c r="Y65" s="290">
        <f>D65+I65+N65+R65</f>
        <v/>
      </c>
      <c r="Z65" s="564" t="n"/>
      <c r="AA65" s="564" t="n"/>
      <c r="AB65" s="565" t="n"/>
    </row>
  </sheetData>
  <mergeCells count="594">
    <mergeCell ref="Y46:AB46"/>
    <mergeCell ref="V10:X10"/>
    <mergeCell ref="D60:E60"/>
    <mergeCell ref="F16:G16"/>
    <mergeCell ref="K33:L33"/>
    <mergeCell ref="Y61:AB61"/>
    <mergeCell ref="Y12:AB12"/>
    <mergeCell ref="Y48:AB48"/>
    <mergeCell ref="A21:C21"/>
    <mergeCell ref="V39:X39"/>
    <mergeCell ref="A57:C57"/>
    <mergeCell ref="D45:E45"/>
    <mergeCell ref="N44:P44"/>
    <mergeCell ref="K35:L35"/>
    <mergeCell ref="Y41:AB41"/>
    <mergeCell ref="A23:C23"/>
    <mergeCell ref="R6:S6"/>
    <mergeCell ref="T62:U62"/>
    <mergeCell ref="Y56:AB56"/>
    <mergeCell ref="Y43:AB43"/>
    <mergeCell ref="A52:C52"/>
    <mergeCell ref="T64:U64"/>
    <mergeCell ref="D7:E7"/>
    <mergeCell ref="N29:O29"/>
    <mergeCell ref="F23:G23"/>
    <mergeCell ref="V21:X21"/>
    <mergeCell ref="A34:C34"/>
    <mergeCell ref="N31:O31"/>
    <mergeCell ref="A49:C49"/>
    <mergeCell ref="Y59:AB59"/>
    <mergeCell ref="V23:X23"/>
    <mergeCell ref="N24:O24"/>
    <mergeCell ref="K28:L28"/>
    <mergeCell ref="Y34:AB34"/>
    <mergeCell ref="Y25:AB25"/>
    <mergeCell ref="N26:O26"/>
    <mergeCell ref="I30:J30"/>
    <mergeCell ref="D56:G56"/>
    <mergeCell ref="K30:L30"/>
    <mergeCell ref="T33:U33"/>
    <mergeCell ref="I46:J46"/>
    <mergeCell ref="I44:L44"/>
    <mergeCell ref="R19:S19"/>
    <mergeCell ref="A55:C55"/>
    <mergeCell ref="D51:G51"/>
    <mergeCell ref="T35:U35"/>
    <mergeCell ref="T10:U10"/>
    <mergeCell ref="I54:J54"/>
    <mergeCell ref="I41:J41"/>
    <mergeCell ref="K41:L41"/>
    <mergeCell ref="N42:O42"/>
    <mergeCell ref="F45:G45"/>
    <mergeCell ref="F42:G42"/>
    <mergeCell ref="A29:C29"/>
    <mergeCell ref="A4:C4"/>
    <mergeCell ref="N52:O52"/>
    <mergeCell ref="F17:G17"/>
    <mergeCell ref="D53:E53"/>
    <mergeCell ref="Y62:AB62"/>
    <mergeCell ref="I43:J43"/>
    <mergeCell ref="D47:E47"/>
    <mergeCell ref="K43:L43"/>
    <mergeCell ref="F47:G47"/>
    <mergeCell ref="A44:C44"/>
    <mergeCell ref="A31:C31"/>
    <mergeCell ref="A58:C58"/>
    <mergeCell ref="F46:G46"/>
    <mergeCell ref="Y64:AB64"/>
    <mergeCell ref="V55:X55"/>
    <mergeCell ref="V17:X17"/>
    <mergeCell ref="Y51:AB51"/>
    <mergeCell ref="A24:C24"/>
    <mergeCell ref="A60:C60"/>
    <mergeCell ref="F48:G48"/>
    <mergeCell ref="D15:E15"/>
    <mergeCell ref="I59:J59"/>
    <mergeCell ref="R14:S14"/>
    <mergeCell ref="V29:X29"/>
    <mergeCell ref="I9:J9"/>
    <mergeCell ref="T57:U57"/>
    <mergeCell ref="K25:L25"/>
    <mergeCell ref="V44:X44"/>
    <mergeCell ref="T29:U29"/>
    <mergeCell ref="V31:X31"/>
    <mergeCell ref="I11:J11"/>
    <mergeCell ref="A50:C50"/>
    <mergeCell ref="Y33:AB33"/>
    <mergeCell ref="K54:L54"/>
    <mergeCell ref="A42:C42"/>
    <mergeCell ref="T58:U58"/>
    <mergeCell ref="K29:L29"/>
    <mergeCell ref="V60:X60"/>
    <mergeCell ref="T54:U54"/>
    <mergeCell ref="V45:X45"/>
    <mergeCell ref="V26:X26"/>
    <mergeCell ref="K31:L31"/>
    <mergeCell ref="R27:S27"/>
    <mergeCell ref="R20:S20"/>
    <mergeCell ref="I62:J62"/>
    <mergeCell ref="Y39:AB39"/>
    <mergeCell ref="D28:E28"/>
    <mergeCell ref="T60:U60"/>
    <mergeCell ref="D3:E3"/>
    <mergeCell ref="R22:S22"/>
    <mergeCell ref="N60:O60"/>
    <mergeCell ref="I64:J64"/>
    <mergeCell ref="V42:X42"/>
    <mergeCell ref="D55:E55"/>
    <mergeCell ref="D30:E30"/>
    <mergeCell ref="D5:E5"/>
    <mergeCell ref="K57:L57"/>
    <mergeCell ref="R9:S9"/>
    <mergeCell ref="N45:O45"/>
    <mergeCell ref="V19:X19"/>
    <mergeCell ref="I65:J65"/>
    <mergeCell ref="Y65:AB65"/>
    <mergeCell ref="R11:S11"/>
    <mergeCell ref="N47:O47"/>
    <mergeCell ref="R38:S38"/>
    <mergeCell ref="Y57:AB57"/>
    <mergeCell ref="N61:P61"/>
    <mergeCell ref="R13:S13"/>
    <mergeCell ref="R4:S4"/>
    <mergeCell ref="Y23:AB23"/>
    <mergeCell ref="T4:U4"/>
    <mergeCell ref="D21:E21"/>
    <mergeCell ref="R40:S40"/>
    <mergeCell ref="T65:U65"/>
    <mergeCell ref="R15:S15"/>
    <mergeCell ref="I12:J12"/>
    <mergeCell ref="D16:E16"/>
    <mergeCell ref="K12:L12"/>
    <mergeCell ref="F38:G38"/>
    <mergeCell ref="V47:X47"/>
    <mergeCell ref="I39:J39"/>
    <mergeCell ref="I14:J14"/>
    <mergeCell ref="K39:L39"/>
    <mergeCell ref="K14:L14"/>
    <mergeCell ref="Y20:AB20"/>
    <mergeCell ref="Y14:AB14"/>
    <mergeCell ref="V38:X38"/>
    <mergeCell ref="A45:C45"/>
    <mergeCell ref="Y60:AB60"/>
    <mergeCell ref="Y22:AB22"/>
    <mergeCell ref="V48:X48"/>
    <mergeCell ref="N51:P51"/>
    <mergeCell ref="N56:P56"/>
    <mergeCell ref="V63:X63"/>
    <mergeCell ref="F29:G29"/>
    <mergeCell ref="A46:C46"/>
    <mergeCell ref="R28:S28"/>
    <mergeCell ref="K4:L4"/>
    <mergeCell ref="D31:E31"/>
    <mergeCell ref="N53:O53"/>
    <mergeCell ref="A26:C26"/>
    <mergeCell ref="D6:E6"/>
    <mergeCell ref="N3:O3"/>
    <mergeCell ref="R30:S30"/>
    <mergeCell ref="N46:O46"/>
    <mergeCell ref="I25:J25"/>
    <mergeCell ref="K50:L50"/>
    <mergeCell ref="Y4:AB4"/>
    <mergeCell ref="R44:U44"/>
    <mergeCell ref="N5:O5"/>
    <mergeCell ref="V53:X53"/>
    <mergeCell ref="I58:J58"/>
    <mergeCell ref="Y15:AB15"/>
    <mergeCell ref="R12:S12"/>
    <mergeCell ref="N48:O48"/>
    <mergeCell ref="K58:L58"/>
    <mergeCell ref="T12:U12"/>
    <mergeCell ref="K52:L52"/>
    <mergeCell ref="Y58:AB58"/>
    <mergeCell ref="V22:X22"/>
    <mergeCell ref="R54:S54"/>
    <mergeCell ref="R41:S41"/>
    <mergeCell ref="T41:U41"/>
    <mergeCell ref="V61:X61"/>
    <mergeCell ref="Y10:AB10"/>
    <mergeCell ref="K53:L53"/>
    <mergeCell ref="T7:U7"/>
    <mergeCell ref="I20:J20"/>
    <mergeCell ref="I18:L18"/>
    <mergeCell ref="R43:S43"/>
    <mergeCell ref="D24:E24"/>
    <mergeCell ref="T43:U43"/>
    <mergeCell ref="A6:C6"/>
    <mergeCell ref="I13:J13"/>
    <mergeCell ref="K13:L13"/>
    <mergeCell ref="D26:E26"/>
    <mergeCell ref="F54:G54"/>
    <mergeCell ref="I15:J15"/>
    <mergeCell ref="D19:E19"/>
    <mergeCell ref="N18:P18"/>
    <mergeCell ref="N16:O16"/>
    <mergeCell ref="K15:L15"/>
    <mergeCell ref="F19:G19"/>
    <mergeCell ref="F6:G6"/>
    <mergeCell ref="A3:C3"/>
    <mergeCell ref="R59:S59"/>
    <mergeCell ref="K55:L55"/>
    <mergeCell ref="R34:S34"/>
    <mergeCell ref="V54:X54"/>
    <mergeCell ref="R25:S25"/>
    <mergeCell ref="A5:C5"/>
    <mergeCell ref="T25:U25"/>
    <mergeCell ref="V41:X41"/>
    <mergeCell ref="F20:G20"/>
    <mergeCell ref="R36:S36"/>
    <mergeCell ref="D37:E37"/>
    <mergeCell ref="I33:J33"/>
    <mergeCell ref="V3:X3"/>
    <mergeCell ref="D9:E9"/>
    <mergeCell ref="T31:U31"/>
    <mergeCell ref="F9:G9"/>
    <mergeCell ref="I35:J35"/>
    <mergeCell ref="D61:G61"/>
    <mergeCell ref="V5:X5"/>
    <mergeCell ref="N6:O6"/>
    <mergeCell ref="I10:J10"/>
    <mergeCell ref="K10:L10"/>
    <mergeCell ref="D38:E38"/>
    <mergeCell ref="Y7:AB7"/>
    <mergeCell ref="A16:C16"/>
    <mergeCell ref="N4:O4"/>
    <mergeCell ref="K3:L3"/>
    <mergeCell ref="F4:G4"/>
    <mergeCell ref="Y49:AB49"/>
    <mergeCell ref="R64:S64"/>
    <mergeCell ref="T15:U15"/>
    <mergeCell ref="D63:E63"/>
    <mergeCell ref="A18:C18"/>
    <mergeCell ref="K5:L5"/>
    <mergeCell ref="R57:S57"/>
    <mergeCell ref="R49:S49"/>
    <mergeCell ref="D52:E52"/>
    <mergeCell ref="A47:C47"/>
    <mergeCell ref="D27:E27"/>
    <mergeCell ref="A22:C22"/>
    <mergeCell ref="V16:X16"/>
    <mergeCell ref="N17:O17"/>
    <mergeCell ref="I21:J21"/>
    <mergeCell ref="V62:X62"/>
    <mergeCell ref="Y30:AB30"/>
    <mergeCell ref="Y54:AB54"/>
    <mergeCell ref="V43:X43"/>
    <mergeCell ref="V18:X18"/>
    <mergeCell ref="N19:O19"/>
    <mergeCell ref="I23:J23"/>
    <mergeCell ref="F22:G22"/>
    <mergeCell ref="K23:L23"/>
    <mergeCell ref="Y29:AB29"/>
    <mergeCell ref="R62:S62"/>
    <mergeCell ref="Y31:AB31"/>
    <mergeCell ref="T34:U34"/>
    <mergeCell ref="T28:U28"/>
    <mergeCell ref="R52:S52"/>
    <mergeCell ref="T3:U3"/>
    <mergeCell ref="R39:S39"/>
    <mergeCell ref="T39:U39"/>
    <mergeCell ref="I34:J34"/>
    <mergeCell ref="F11:G11"/>
    <mergeCell ref="K34:L34"/>
    <mergeCell ref="Y13:AB13"/>
    <mergeCell ref="T30:U30"/>
    <mergeCell ref="V9:X9"/>
    <mergeCell ref="T5:U5"/>
    <mergeCell ref="T32:U32"/>
    <mergeCell ref="I49:J49"/>
    <mergeCell ref="D46:E46"/>
    <mergeCell ref="D40:E40"/>
    <mergeCell ref="I36:J36"/>
    <mergeCell ref="F40:G40"/>
    <mergeCell ref="N37:O37"/>
    <mergeCell ref="K36:L36"/>
    <mergeCell ref="V6:X6"/>
    <mergeCell ref="T47:U47"/>
    <mergeCell ref="V11:X11"/>
    <mergeCell ref="F12:G12"/>
    <mergeCell ref="R61:U61"/>
    <mergeCell ref="A17:C17"/>
    <mergeCell ref="A53:C53"/>
    <mergeCell ref="D41:E41"/>
    <mergeCell ref="R65:S65"/>
    <mergeCell ref="F41:G41"/>
    <mergeCell ref="R21:S21"/>
    <mergeCell ref="F35:G35"/>
    <mergeCell ref="T21:U21"/>
    <mergeCell ref="A19:C19"/>
    <mergeCell ref="D43:E43"/>
    <mergeCell ref="R50:S50"/>
    <mergeCell ref="T23:U23"/>
    <mergeCell ref="Y44:AB44"/>
    <mergeCell ref="A48:C48"/>
    <mergeCell ref="T16:U16"/>
    <mergeCell ref="I29:J29"/>
    <mergeCell ref="I4:J4"/>
    <mergeCell ref="T52:U52"/>
    <mergeCell ref="I31:J31"/>
    <mergeCell ref="N27:O27"/>
    <mergeCell ref="D59:E59"/>
    <mergeCell ref="Y28:AB28"/>
    <mergeCell ref="K49:L49"/>
    <mergeCell ref="N20:O20"/>
    <mergeCell ref="A37:C37"/>
    <mergeCell ref="K24:L24"/>
    <mergeCell ref="F25:G25"/>
    <mergeCell ref="T49:U49"/>
    <mergeCell ref="D36:E36"/>
    <mergeCell ref="N22:O22"/>
    <mergeCell ref="I26:J26"/>
    <mergeCell ref="K26:L26"/>
    <mergeCell ref="T42:U42"/>
    <mergeCell ref="Y47:AB47"/>
    <mergeCell ref="T50:U50"/>
    <mergeCell ref="D48:E48"/>
    <mergeCell ref="A43:C43"/>
    <mergeCell ref="R55:S55"/>
    <mergeCell ref="A63:C63"/>
    <mergeCell ref="V37:X37"/>
    <mergeCell ref="I42:J42"/>
    <mergeCell ref="N38:O38"/>
    <mergeCell ref="K42:L42"/>
    <mergeCell ref="Y21:AB21"/>
    <mergeCell ref="V12:X12"/>
    <mergeCell ref="D62:E62"/>
    <mergeCell ref="I52:J52"/>
    <mergeCell ref="F13:G13"/>
    <mergeCell ref="N40:O40"/>
    <mergeCell ref="F43:G43"/>
    <mergeCell ref="Y50:AB50"/>
    <mergeCell ref="V14:X14"/>
    <mergeCell ref="N15:O15"/>
    <mergeCell ref="D64:E64"/>
    <mergeCell ref="K37:L37"/>
    <mergeCell ref="Y16:AB16"/>
    <mergeCell ref="V13:X13"/>
    <mergeCell ref="R51:U51"/>
    <mergeCell ref="R58:S58"/>
    <mergeCell ref="R33:S33"/>
    <mergeCell ref="Y52:AB52"/>
    <mergeCell ref="F57:G57"/>
    <mergeCell ref="N35:O35"/>
    <mergeCell ref="T24:U24"/>
    <mergeCell ref="Y18:AB18"/>
    <mergeCell ref="Y45:AB45"/>
    <mergeCell ref="R60:S60"/>
    <mergeCell ref="R10:S10"/>
    <mergeCell ref="T53:U53"/>
    <mergeCell ref="K21:L21"/>
    <mergeCell ref="R18:U18"/>
    <mergeCell ref="I57:J57"/>
    <mergeCell ref="V27:X27"/>
    <mergeCell ref="I32:J32"/>
    <mergeCell ref="I7:J7"/>
    <mergeCell ref="D11:E11"/>
    <mergeCell ref="K32:L32"/>
    <mergeCell ref="Y42:AB42"/>
    <mergeCell ref="F33:G33"/>
    <mergeCell ref="T55:U55"/>
    <mergeCell ref="K63:L63"/>
    <mergeCell ref="V25:X25"/>
    <mergeCell ref="A38:C38"/>
    <mergeCell ref="I61:L61"/>
    <mergeCell ref="A13:C13"/>
    <mergeCell ref="F62:G62"/>
    <mergeCell ref="R42:S42"/>
    <mergeCell ref="N28:O28"/>
    <mergeCell ref="K27:L27"/>
    <mergeCell ref="F31:G31"/>
    <mergeCell ref="F28:G28"/>
    <mergeCell ref="A15:C15"/>
    <mergeCell ref="A51:C51"/>
    <mergeCell ref="D39:E39"/>
    <mergeCell ref="F39:G39"/>
    <mergeCell ref="N30:O30"/>
    <mergeCell ref="I56:L56"/>
    <mergeCell ref="T37:U37"/>
    <mergeCell ref="V20:X20"/>
    <mergeCell ref="I60:J60"/>
    <mergeCell ref="R23:S23"/>
    <mergeCell ref="F64:G64"/>
    <mergeCell ref="K16:L16"/>
    <mergeCell ref="V59:X59"/>
    <mergeCell ref="N54:O54"/>
    <mergeCell ref="T38:U38"/>
    <mergeCell ref="K9:L9"/>
    <mergeCell ref="N41:O41"/>
    <mergeCell ref="I45:J45"/>
    <mergeCell ref="K45:L45"/>
    <mergeCell ref="V15:X15"/>
    <mergeCell ref="D65:E65"/>
    <mergeCell ref="V51:X51"/>
    <mergeCell ref="F21:G21"/>
    <mergeCell ref="K11:L11"/>
    <mergeCell ref="R7:S7"/>
    <mergeCell ref="N43:O43"/>
    <mergeCell ref="I47:J47"/>
    <mergeCell ref="K47:L47"/>
    <mergeCell ref="T63:U63"/>
    <mergeCell ref="Y53:AB53"/>
    <mergeCell ref="A62:C62"/>
    <mergeCell ref="Y3:AB3"/>
    <mergeCell ref="K46:L46"/>
    <mergeCell ref="F50:G50"/>
    <mergeCell ref="K40:L40"/>
    <mergeCell ref="D17:E17"/>
    <mergeCell ref="Y55:AB55"/>
    <mergeCell ref="A28:C28"/>
    <mergeCell ref="T40:U40"/>
    <mergeCell ref="A30:C30"/>
    <mergeCell ref="N59:O59"/>
    <mergeCell ref="A59:C59"/>
    <mergeCell ref="D12:E12"/>
    <mergeCell ref="V33:X33"/>
    <mergeCell ref="N9:O9"/>
    <mergeCell ref="I40:J40"/>
    <mergeCell ref="T6:U6"/>
    <mergeCell ref="A61:C61"/>
    <mergeCell ref="F49:G49"/>
    <mergeCell ref="D14:E14"/>
    <mergeCell ref="V35:X35"/>
    <mergeCell ref="F14:G14"/>
    <mergeCell ref="A54:C54"/>
    <mergeCell ref="Y37:AB37"/>
    <mergeCell ref="V34:X34"/>
    <mergeCell ref="V28:X28"/>
    <mergeCell ref="A41:C41"/>
    <mergeCell ref="R29:S29"/>
    <mergeCell ref="F65:G65"/>
    <mergeCell ref="I51:L51"/>
    <mergeCell ref="A56:C56"/>
    <mergeCell ref="T45:U45"/>
    <mergeCell ref="A27:C27"/>
    <mergeCell ref="V30:X30"/>
    <mergeCell ref="R31:S31"/>
    <mergeCell ref="F55:G55"/>
    <mergeCell ref="T59:U59"/>
    <mergeCell ref="R24:S24"/>
    <mergeCell ref="N62:O62"/>
    <mergeCell ref="I53:J53"/>
    <mergeCell ref="I28:J28"/>
    <mergeCell ref="Y63:AB63"/>
    <mergeCell ref="I3:J3"/>
    <mergeCell ref="R26:S26"/>
    <mergeCell ref="K59:L59"/>
    <mergeCell ref="N64:O64"/>
    <mergeCell ref="T26:U26"/>
    <mergeCell ref="I55:J55"/>
    <mergeCell ref="V65:X65"/>
    <mergeCell ref="A9:C9"/>
    <mergeCell ref="V56:X56"/>
    <mergeCell ref="N57:O57"/>
    <mergeCell ref="I5:J5"/>
    <mergeCell ref="D58:E58"/>
    <mergeCell ref="I48:J48"/>
    <mergeCell ref="Y5:AB5"/>
    <mergeCell ref="F58:G58"/>
    <mergeCell ref="K48:L48"/>
    <mergeCell ref="F52:G52"/>
    <mergeCell ref="F37:G37"/>
    <mergeCell ref="A11:C11"/>
    <mergeCell ref="F60:G60"/>
    <mergeCell ref="K62:L62"/>
    <mergeCell ref="A65:C65"/>
    <mergeCell ref="Y6:AB6"/>
    <mergeCell ref="F53:G53"/>
    <mergeCell ref="D20:E20"/>
    <mergeCell ref="D18:G18"/>
    <mergeCell ref="V24:X24"/>
    <mergeCell ref="N11:O11"/>
    <mergeCell ref="D22:E22"/>
    <mergeCell ref="V49:X49"/>
    <mergeCell ref="N12:O12"/>
    <mergeCell ref="I16:J16"/>
    <mergeCell ref="F15:G15"/>
    <mergeCell ref="D13:E13"/>
    <mergeCell ref="Y38:AB38"/>
    <mergeCell ref="N39:O39"/>
    <mergeCell ref="N14:O14"/>
    <mergeCell ref="Y24:AB24"/>
    <mergeCell ref="V50:X50"/>
    <mergeCell ref="R32:S32"/>
    <mergeCell ref="D4:E4"/>
    <mergeCell ref="Y19:AB19"/>
    <mergeCell ref="D33:E33"/>
    <mergeCell ref="V4:X4"/>
    <mergeCell ref="V64:X64"/>
    <mergeCell ref="N65:O65"/>
    <mergeCell ref="T27:U27"/>
    <mergeCell ref="D35:E35"/>
    <mergeCell ref="I6:J6"/>
    <mergeCell ref="D10:E10"/>
    <mergeCell ref="N7:O7"/>
    <mergeCell ref="N63:O63"/>
    <mergeCell ref="D34:E34"/>
    <mergeCell ref="F10:G10"/>
    <mergeCell ref="F63:G63"/>
    <mergeCell ref="R56:U56"/>
    <mergeCell ref="R63:S63"/>
    <mergeCell ref="N50:O50"/>
    <mergeCell ref="N25:O25"/>
    <mergeCell ref="A12:C12"/>
    <mergeCell ref="K64:L64"/>
    <mergeCell ref="R16:S16"/>
    <mergeCell ref="F30:G30"/>
    <mergeCell ref="A14:C14"/>
    <mergeCell ref="D44:G44"/>
    <mergeCell ref="F5:G5"/>
    <mergeCell ref="T9:U9"/>
    <mergeCell ref="R45:S45"/>
    <mergeCell ref="V57:X57"/>
    <mergeCell ref="T11:U11"/>
    <mergeCell ref="I24:J24"/>
    <mergeCell ref="R47:S47"/>
    <mergeCell ref="T22:U22"/>
    <mergeCell ref="N13:O13"/>
    <mergeCell ref="I17:J17"/>
    <mergeCell ref="K17:L17"/>
    <mergeCell ref="V58:X58"/>
    <mergeCell ref="Y26:AB26"/>
    <mergeCell ref="V52:X52"/>
    <mergeCell ref="D29:E29"/>
    <mergeCell ref="I19:J19"/>
    <mergeCell ref="D23:E23"/>
    <mergeCell ref="K19:L19"/>
    <mergeCell ref="K6:L6"/>
    <mergeCell ref="A7:C7"/>
    <mergeCell ref="N55:O55"/>
    <mergeCell ref="A25:C25"/>
    <mergeCell ref="Y27:AB27"/>
    <mergeCell ref="F7:G7"/>
    <mergeCell ref="K60:L60"/>
    <mergeCell ref="D49:E49"/>
    <mergeCell ref="N58:O58"/>
    <mergeCell ref="F36:G36"/>
    <mergeCell ref="N33:O33"/>
    <mergeCell ref="I37:J37"/>
    <mergeCell ref="V7:X7"/>
    <mergeCell ref="A20:C20"/>
    <mergeCell ref="R35:S35"/>
    <mergeCell ref="Y9:AB9"/>
    <mergeCell ref="N10:O10"/>
    <mergeCell ref="R17:S17"/>
    <mergeCell ref="T17:U17"/>
    <mergeCell ref="Y11:AB11"/>
    <mergeCell ref="R53:S53"/>
    <mergeCell ref="A64:C64"/>
    <mergeCell ref="D25:E25"/>
    <mergeCell ref="K7:L7"/>
    <mergeCell ref="K65:L65"/>
    <mergeCell ref="R46:S46"/>
    <mergeCell ref="T19:U19"/>
    <mergeCell ref="T46:U46"/>
    <mergeCell ref="I63:J63"/>
    <mergeCell ref="I50:J50"/>
    <mergeCell ref="D54:E54"/>
    <mergeCell ref="R5:S5"/>
    <mergeCell ref="R48:S48"/>
    <mergeCell ref="T48:U48"/>
    <mergeCell ref="T20:U20"/>
    <mergeCell ref="T14:U14"/>
    <mergeCell ref="I27:J27"/>
    <mergeCell ref="F3:G3"/>
    <mergeCell ref="F59:G59"/>
    <mergeCell ref="A33:C33"/>
    <mergeCell ref="N21:O21"/>
    <mergeCell ref="K20:L20"/>
    <mergeCell ref="F24:G24"/>
    <mergeCell ref="D57:E57"/>
    <mergeCell ref="R37:S37"/>
    <mergeCell ref="D32:E32"/>
    <mergeCell ref="I22:J22"/>
    <mergeCell ref="F32:G32"/>
    <mergeCell ref="A35:C35"/>
    <mergeCell ref="N23:O23"/>
    <mergeCell ref="K22:L22"/>
    <mergeCell ref="F26:G26"/>
    <mergeCell ref="A10:C10"/>
    <mergeCell ref="V46:X46"/>
    <mergeCell ref="Y35:AB35"/>
    <mergeCell ref="R3:S3"/>
    <mergeCell ref="A39:C39"/>
    <mergeCell ref="F27:G27"/>
    <mergeCell ref="T13:U13"/>
    <mergeCell ref="N34:O34"/>
    <mergeCell ref="I38:J38"/>
    <mergeCell ref="D42:E42"/>
    <mergeCell ref="K38:L38"/>
    <mergeCell ref="Y17:AB17"/>
    <mergeCell ref="T36:U36"/>
    <mergeCell ref="N49:O49"/>
    <mergeCell ref="D50:E50"/>
    <mergeCell ref="N36:O36"/>
  </mergeCells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tabSelected="1" topLeftCell="A11" zoomScale="50" workbookViewId="0">
      <selection activeCell="P29" sqref="P29"/>
    </sheetView>
  </sheetViews>
  <sheetFormatPr baseColWidth="10" defaultColWidth="8.83203125" defaultRowHeight="15"/>
  <cols>
    <col width="17.1640625" customWidth="1" min="1" max="2"/>
    <col width="24.6640625" customWidth="1" min="3" max="3"/>
    <col width="17.33203125" customWidth="1" min="4" max="4"/>
    <col width="0.5" customWidth="1" min="5" max="5"/>
    <col width="17.33203125" customWidth="1" min="6" max="6"/>
    <col width="0.5" customWidth="1" min="7" max="7"/>
    <col width="17.33203125" customWidth="1" min="8" max="8"/>
    <col width="0.5" customWidth="1" min="9" max="9"/>
    <col width="17.33203125" customWidth="1" min="10" max="10"/>
    <col width="0.5" customWidth="1" min="11" max="11"/>
    <col width="17.33203125" customWidth="1" min="12" max="12"/>
    <col width="0.5" customWidth="1" min="13" max="13"/>
    <col width="17.33203125" customWidth="1" min="14" max="14"/>
    <col width="0.5" customWidth="1" min="15" max="15"/>
    <col width="17.33203125" customWidth="1" min="16" max="16"/>
    <col width="0.5" customWidth="1" min="17" max="17"/>
    <col width="17.33203125" customWidth="1" min="18" max="18"/>
    <col width="0.5" customWidth="1" min="19" max="19"/>
    <col width="17.33203125" customWidth="1" min="20" max="20"/>
    <col width="56.83203125" customWidth="1" min="21" max="21"/>
    <col width="33.33203125" customWidth="1" min="22" max="22"/>
    <col hidden="1" width="9.33203125" customWidth="1" min="23" max="23"/>
    <col width="0.83203125" customWidth="1" min="24" max="24"/>
    <col width="8.83203125" customWidth="1" min="26" max="26"/>
  </cols>
  <sheetData>
    <row r="1" ht="16" customHeight="1" thickBot="1">
      <c r="A1" s="1" t="inlineStr">
        <is>
          <t>LA VİTA</t>
        </is>
      </c>
      <c r="B1" s="6" t="n">
        <v>46220</v>
      </c>
    </row>
    <row r="2" ht="16" customHeight="1" thickBot="1">
      <c r="A2" s="1" t="inlineStr">
        <is>
          <t>GÜN:</t>
        </is>
      </c>
      <c r="B2" s="1" t="inlineStr">
        <is>
          <t>Cuma</t>
        </is>
      </c>
    </row>
    <row r="3" ht="28" customHeight="1">
      <c r="A3" s="425" t="inlineStr">
        <is>
          <t>PORSİYON TATLILAR</t>
        </is>
      </c>
      <c r="B3" s="561" t="n"/>
      <c r="C3" s="583" t="n"/>
      <c r="D3" s="444" t="inlineStr">
        <is>
          <t>NİŞANTAŞI</t>
        </is>
      </c>
      <c r="E3" s="77" t="n"/>
      <c r="F3" s="446" t="inlineStr">
        <is>
          <t>fulya</t>
        </is>
      </c>
      <c r="G3" s="77" t="n"/>
      <c r="H3" s="448" t="inlineStr">
        <is>
          <t>MASLAK</t>
        </is>
      </c>
      <c r="I3" s="77" t="n"/>
      <c r="J3" s="438" t="inlineStr">
        <is>
          <t>K.BURNU</t>
        </is>
      </c>
      <c r="K3" s="77" t="n"/>
      <c r="L3" s="440" t="inlineStr">
        <is>
          <t>SUTİŞ</t>
        </is>
      </c>
      <c r="M3" s="77" t="n"/>
      <c r="N3" s="442" t="inlineStr">
        <is>
          <t>SULTAN</t>
        </is>
      </c>
      <c r="O3" s="77" t="n"/>
      <c r="P3" s="436" t="inlineStr">
        <is>
          <t>ZEYTİN</t>
        </is>
      </c>
      <c r="Q3" s="77" t="n"/>
      <c r="R3" s="450" t="n"/>
      <c r="S3" s="77" t="n"/>
      <c r="T3" s="452" t="inlineStr">
        <is>
          <t>BEYKENT</t>
        </is>
      </c>
      <c r="U3" s="422" t="inlineStr">
        <is>
          <t>PORSİYON TATLILAR</t>
        </is>
      </c>
      <c r="V3" s="615" t="inlineStr">
        <is>
          <t>TOPLAM ADET</t>
        </is>
      </c>
      <c r="W3" s="561" t="n"/>
      <c r="X3" s="583" t="n"/>
    </row>
    <row r="4" ht="28" customHeight="1" thickBot="1">
      <c r="C4" s="616" t="n"/>
      <c r="D4" s="617" t="n"/>
      <c r="E4" s="77" t="n"/>
      <c r="F4" s="617" t="n"/>
      <c r="G4" s="77" t="n"/>
      <c r="H4" s="617" t="n"/>
      <c r="I4" s="77" t="n"/>
      <c r="J4" s="617" t="n"/>
      <c r="K4" s="77" t="n"/>
      <c r="L4" s="617" t="n"/>
      <c r="M4" s="77" t="n"/>
      <c r="N4" s="617" t="n"/>
      <c r="O4" s="77" t="n"/>
      <c r="P4" s="617" t="n"/>
      <c r="Q4" s="77" t="n"/>
      <c r="R4" s="617" t="n"/>
      <c r="S4" s="77" t="n"/>
      <c r="T4" s="617" t="n"/>
      <c r="V4" s="617" t="n"/>
      <c r="X4" s="616" t="n"/>
    </row>
    <row r="5" ht="65" customHeight="1">
      <c r="A5" s="427" t="inlineStr">
        <is>
          <t>TİRAMİSU DİLİM</t>
        </is>
      </c>
      <c r="B5" s="570" t="n"/>
      <c r="C5" s="570" t="n"/>
      <c r="D5" s="107" t="n"/>
      <c r="E5" s="108" t="n"/>
      <c r="F5" s="107" t="n"/>
      <c r="G5" s="108" t="n"/>
      <c r="H5" s="107" t="n"/>
      <c r="I5" s="108" t="n"/>
      <c r="J5" s="107" t="n"/>
      <c r="K5" s="109" t="n"/>
      <c r="L5" s="110" t="n"/>
      <c r="M5" s="109" t="n"/>
      <c r="N5" s="110" t="n"/>
      <c r="O5" s="109" t="n"/>
      <c r="P5" s="110" t="n"/>
      <c r="Q5" s="109" t="n"/>
      <c r="R5" s="110" t="n"/>
      <c r="S5" s="109" t="n"/>
      <c r="T5" s="208" t="n"/>
      <c r="U5" s="210" t="inlineStr">
        <is>
          <t>TİRAMİSU DİLİM</t>
        </is>
      </c>
      <c r="V5" s="462">
        <f>D5+F5+H5+J5+L5+N5+P5+R5+T5</f>
        <v/>
      </c>
      <c r="W5" s="570" t="n"/>
      <c r="X5" s="618" t="n"/>
    </row>
    <row r="6" ht="65" customHeight="1">
      <c r="A6" s="420" t="inlineStr">
        <is>
          <t>MAGNOLİA ÇİLEK</t>
        </is>
      </c>
      <c r="B6" s="564" t="n"/>
      <c r="C6" s="564" t="n"/>
      <c r="D6" s="110" t="n"/>
      <c r="E6" s="109" t="n"/>
      <c r="F6" s="110" t="n"/>
      <c r="G6" s="109" t="n"/>
      <c r="H6" s="110" t="n"/>
      <c r="I6" s="109" t="n"/>
      <c r="J6" s="110" t="n"/>
      <c r="K6" s="109" t="n"/>
      <c r="L6" s="110" t="n"/>
      <c r="M6" s="109" t="n"/>
      <c r="N6" s="110" t="n"/>
      <c r="O6" s="109" t="n"/>
      <c r="P6" s="110" t="n"/>
      <c r="Q6" s="109" t="n"/>
      <c r="R6" s="110" t="n"/>
      <c r="S6" s="109" t="n"/>
      <c r="T6" s="208" t="n"/>
      <c r="U6" s="211" t="inlineStr">
        <is>
          <t>MAGNOLİA ÇİLEK</t>
        </is>
      </c>
      <c r="V6" s="454">
        <f>D6+F6+H6+J6+L6+N6+P6+R6+T6</f>
        <v/>
      </c>
      <c r="W6" s="564" t="n"/>
      <c r="X6" s="565" t="n"/>
    </row>
    <row r="7" ht="65" customHeight="1">
      <c r="A7" s="420" t="inlineStr">
        <is>
          <t>MAGNOLİA MUZLU</t>
        </is>
      </c>
      <c r="B7" s="564" t="n"/>
      <c r="C7" s="564" t="n"/>
      <c r="D7" s="110" t="n"/>
      <c r="E7" s="109" t="n"/>
      <c r="F7" s="110" t="n"/>
      <c r="G7" s="109" t="n"/>
      <c r="H7" s="110" t="n"/>
      <c r="I7" s="109" t="n"/>
      <c r="J7" s="110" t="n"/>
      <c r="K7" s="109" t="n"/>
      <c r="L7" s="110" t="n"/>
      <c r="M7" s="109" t="n"/>
      <c r="N7" s="110" t="n"/>
      <c r="O7" s="109" t="n"/>
      <c r="P7" s="110" t="n"/>
      <c r="Q7" s="109" t="n"/>
      <c r="R7" s="110" t="n"/>
      <c r="S7" s="109" t="n"/>
      <c r="T7" s="208" t="n"/>
      <c r="U7" s="211" t="inlineStr">
        <is>
          <t>MAGNOLİA MUZLU</t>
        </is>
      </c>
      <c r="V7" s="454">
        <f>D7+F7+H7+J7+L7+N7+P7+R7+T7</f>
        <v/>
      </c>
      <c r="W7" s="564" t="n"/>
      <c r="X7" s="565" t="n"/>
    </row>
    <row r="8" ht="65" customHeight="1">
      <c r="A8" s="420" t="inlineStr">
        <is>
          <t xml:space="preserve"> MAGNOLİA OREOLU</t>
        </is>
      </c>
      <c r="B8" s="564" t="n"/>
      <c r="C8" s="564" t="n"/>
      <c r="D8" s="110" t="n"/>
      <c r="E8" s="109" t="n"/>
      <c r="F8" s="110" t="n"/>
      <c r="G8" s="109" t="n"/>
      <c r="H8" s="110" t="n"/>
      <c r="I8" s="109" t="n"/>
      <c r="J8" s="110" t="n"/>
      <c r="K8" s="109" t="n"/>
      <c r="L8" s="110" t="n"/>
      <c r="M8" s="109" t="n"/>
      <c r="N8" s="110" t="n"/>
      <c r="O8" s="109" t="n"/>
      <c r="P8" s="110" t="n"/>
      <c r="Q8" s="109" t="n"/>
      <c r="R8" s="110" t="n"/>
      <c r="S8" s="109" t="n"/>
      <c r="T8" s="208" t="n"/>
      <c r="U8" s="211" t="inlineStr">
        <is>
          <t xml:space="preserve"> MAGNOLİA OREOLU</t>
        </is>
      </c>
      <c r="V8" s="454">
        <f>D8+F8+H8+J8+L8+N8+P8+R8+T8</f>
        <v/>
      </c>
      <c r="W8" s="564" t="n"/>
      <c r="X8" s="565" t="n"/>
    </row>
    <row r="9" ht="65" customHeight="1">
      <c r="A9" s="420" t="inlineStr">
        <is>
          <t>DUBAİ MAGNOLİA</t>
        </is>
      </c>
      <c r="B9" s="564" t="n"/>
      <c r="C9" s="564" t="n"/>
      <c r="D9" s="110" t="n"/>
      <c r="E9" s="109" t="n"/>
      <c r="F9" s="110" t="n"/>
      <c r="G9" s="109" t="n"/>
      <c r="H9" s="110" t="n"/>
      <c r="I9" s="109" t="n"/>
      <c r="J9" s="110" t="n"/>
      <c r="K9" s="109" t="n"/>
      <c r="L9" s="110" t="n"/>
      <c r="M9" s="109" t="n"/>
      <c r="N9" s="110" t="n"/>
      <c r="O9" s="109" t="n"/>
      <c r="P9" s="110" t="n"/>
      <c r="Q9" s="109" t="n"/>
      <c r="R9" s="110" t="n"/>
      <c r="S9" s="109" t="n"/>
      <c r="T9" s="208" t="n"/>
      <c r="U9" s="211" t="inlineStr">
        <is>
          <t>DUBAİ MAGNOLİA</t>
        </is>
      </c>
      <c r="V9" s="454">
        <f>D9+F9+H9+J9+L9+N9+P9+R9+T9</f>
        <v/>
      </c>
      <c r="W9" s="564" t="n"/>
      <c r="X9" s="565" t="n"/>
    </row>
    <row r="10" ht="65" customHeight="1">
      <c r="A10" s="420" t="inlineStr">
        <is>
          <t>SUPANGLE</t>
        </is>
      </c>
      <c r="B10" s="564" t="n"/>
      <c r="C10" s="564" t="n"/>
      <c r="D10" s="110" t="n"/>
      <c r="E10" s="109" t="n"/>
      <c r="F10" s="110" t="n"/>
      <c r="G10" s="109" t="n"/>
      <c r="H10" s="110" t="n"/>
      <c r="I10" s="109" t="n"/>
      <c r="J10" s="110" t="n"/>
      <c r="K10" s="109" t="n"/>
      <c r="L10" s="110" t="n"/>
      <c r="M10" s="109" t="n"/>
      <c r="N10" s="110" t="n"/>
      <c r="O10" s="109" t="n"/>
      <c r="P10" s="110" t="n"/>
      <c r="Q10" s="109" t="n"/>
      <c r="R10" s="110" t="n"/>
      <c r="S10" s="109" t="n"/>
      <c r="T10" s="208" t="n"/>
      <c r="U10" s="211" t="inlineStr">
        <is>
          <t>SUPANGLE</t>
        </is>
      </c>
      <c r="V10" s="454">
        <f>D10+F10+H10+J10+L10+N10+P10+R10+T10</f>
        <v/>
      </c>
      <c r="W10" s="564" t="n"/>
      <c r="X10" s="565" t="n"/>
    </row>
    <row r="11" ht="65" customHeight="1">
      <c r="A11" s="420" t="inlineStr">
        <is>
          <t>PROFİTEROL KASE</t>
        </is>
      </c>
      <c r="B11" s="564" t="n"/>
      <c r="C11" s="564" t="n"/>
      <c r="D11" s="110" t="n"/>
      <c r="E11" s="109" t="n"/>
      <c r="F11" s="110" t="n"/>
      <c r="G11" s="109" t="n"/>
      <c r="H11" s="110" t="n"/>
      <c r="I11" s="109" t="n"/>
      <c r="J11" s="110" t="n"/>
      <c r="K11" s="109" t="n"/>
      <c r="L11" s="110" t="n"/>
      <c r="M11" s="109" t="n"/>
      <c r="N11" s="110" t="n"/>
      <c r="O11" s="109" t="n"/>
      <c r="P11" s="110" t="n"/>
      <c r="Q11" s="109" t="n"/>
      <c r="R11" s="110" t="n"/>
      <c r="S11" s="109" t="n"/>
      <c r="T11" s="208" t="n"/>
      <c r="U11" s="211" t="inlineStr">
        <is>
          <t>PROFİTEROL KASE</t>
        </is>
      </c>
      <c r="V11" s="454">
        <f>D11+F11+H11+J11+L11+N11+P11+R11+T11</f>
        <v/>
      </c>
      <c r="W11" s="564" t="n"/>
      <c r="X11" s="565" t="n"/>
    </row>
    <row r="12" ht="65" customHeight="1">
      <c r="A12" s="420" t="inlineStr">
        <is>
          <t>MOZAİK</t>
        </is>
      </c>
      <c r="B12" s="564" t="n"/>
      <c r="C12" s="564" t="n"/>
      <c r="D12" s="110" t="n"/>
      <c r="E12" s="109" t="n"/>
      <c r="F12" s="110" t="n"/>
      <c r="G12" s="109" t="n"/>
      <c r="H12" s="110" t="n"/>
      <c r="I12" s="109" t="n"/>
      <c r="J12" s="110" t="n"/>
      <c r="K12" s="109" t="n"/>
      <c r="L12" s="110" t="n"/>
      <c r="M12" s="109" t="n"/>
      <c r="N12" s="110" t="n"/>
      <c r="O12" s="109" t="n"/>
      <c r="P12" s="110" t="n"/>
      <c r="Q12" s="109" t="n"/>
      <c r="R12" s="110" t="n"/>
      <c r="S12" s="109" t="n"/>
      <c r="T12" s="208" t="n"/>
      <c r="U12" s="211" t="inlineStr">
        <is>
          <t>MOZAİK</t>
        </is>
      </c>
      <c r="V12" s="454">
        <f>D12+F12+H12+J12+L12+N12+P12+R12+T12</f>
        <v/>
      </c>
      <c r="W12" s="564" t="n"/>
      <c r="X12" s="565" t="n"/>
    </row>
    <row r="13" ht="65" customHeight="1">
      <c r="A13" s="420" t="inlineStr">
        <is>
          <t>VİSNELİ TEK</t>
        </is>
      </c>
      <c r="B13" s="564" t="n"/>
      <c r="C13" s="564" t="n"/>
      <c r="D13" s="111" t="n"/>
      <c r="E13" s="109" t="n"/>
      <c r="F13" s="111" t="n"/>
      <c r="G13" s="109" t="n"/>
      <c r="H13" s="111" t="n"/>
      <c r="I13" s="109" t="n"/>
      <c r="J13" s="111" t="n"/>
      <c r="K13" s="109" t="n"/>
      <c r="L13" s="110" t="n"/>
      <c r="M13" s="109" t="n"/>
      <c r="N13" s="110" t="n"/>
      <c r="O13" s="109" t="n"/>
      <c r="P13" s="110" t="n"/>
      <c r="Q13" s="109" t="n"/>
      <c r="R13" s="110" t="n"/>
      <c r="S13" s="109" t="n"/>
      <c r="T13" s="208" t="n"/>
      <c r="U13" s="211" t="inlineStr">
        <is>
          <t>VİSNELİ TEK</t>
        </is>
      </c>
      <c r="V13" s="454">
        <f>D13+F13+H13+J13+L13+N13+P13+R13+T13</f>
        <v/>
      </c>
      <c r="W13" s="564" t="n"/>
      <c r="X13" s="565" t="n"/>
    </row>
    <row r="14" ht="65" customHeight="1">
      <c r="A14" s="420" t="inlineStr">
        <is>
          <t>HASBAHÇE TEK</t>
        </is>
      </c>
      <c r="B14" s="564" t="n"/>
      <c r="C14" s="564" t="n"/>
      <c r="D14" s="111" t="n"/>
      <c r="E14" s="109" t="n"/>
      <c r="F14" s="111" t="n"/>
      <c r="G14" s="109" t="n"/>
      <c r="H14" s="111" t="n"/>
      <c r="I14" s="109" t="n"/>
      <c r="J14" s="111" t="n"/>
      <c r="K14" s="109" t="n"/>
      <c r="L14" s="110" t="n"/>
      <c r="M14" s="109" t="n"/>
      <c r="N14" s="110" t="n"/>
      <c r="O14" s="109" t="n"/>
      <c r="P14" s="110" t="n"/>
      <c r="Q14" s="109" t="n"/>
      <c r="R14" s="110" t="n"/>
      <c r="S14" s="109" t="n"/>
      <c r="T14" s="208" t="n"/>
      <c r="U14" s="211" t="inlineStr">
        <is>
          <t>HASBAHÇE TEK</t>
        </is>
      </c>
      <c r="V14" s="454">
        <f>D14+F14+H14+J14+L14+N14+P14+R14+T14</f>
        <v/>
      </c>
      <c r="W14" s="564" t="n"/>
      <c r="X14" s="565" t="n"/>
    </row>
    <row r="15" ht="65" customHeight="1">
      <c r="A15" s="420" t="inlineStr">
        <is>
          <t>FISTIKLI ÇİKOLATALI</t>
        </is>
      </c>
      <c r="B15" s="564" t="n"/>
      <c r="C15" s="564" t="n"/>
      <c r="D15" s="111" t="n"/>
      <c r="E15" s="109" t="n"/>
      <c r="F15" s="111" t="n"/>
      <c r="G15" s="109" t="n"/>
      <c r="H15" s="111" t="n"/>
      <c r="I15" s="109" t="n"/>
      <c r="J15" s="111" t="n"/>
      <c r="K15" s="109" t="n"/>
      <c r="L15" s="110" t="n"/>
      <c r="M15" s="109" t="n"/>
      <c r="N15" s="110" t="n"/>
      <c r="O15" s="109" t="n"/>
      <c r="P15" s="110" t="n"/>
      <c r="Q15" s="109" t="n"/>
      <c r="R15" s="110" t="n"/>
      <c r="S15" s="109" t="n"/>
      <c r="T15" s="208" t="n"/>
      <c r="U15" s="211" t="inlineStr">
        <is>
          <t>FISTIKLI ÇİKOLATALI</t>
        </is>
      </c>
      <c r="V15" s="454">
        <f>D15+F15+H15+J15+L15+N15+P15+R15+T15</f>
        <v/>
      </c>
      <c r="W15" s="564" t="n"/>
      <c r="X15" s="565" t="n"/>
    </row>
    <row r="16" ht="65" customHeight="1">
      <c r="A16" s="420" t="inlineStr">
        <is>
          <t>KESTANELİ TEK</t>
        </is>
      </c>
      <c r="B16" s="564" t="n"/>
      <c r="C16" s="564" t="n"/>
      <c r="D16" s="111" t="n"/>
      <c r="E16" s="109" t="n"/>
      <c r="F16" s="111" t="n"/>
      <c r="G16" s="109" t="n"/>
      <c r="H16" s="111" t="n"/>
      <c r="I16" s="109" t="n"/>
      <c r="J16" s="111" t="n"/>
      <c r="K16" s="109" t="n"/>
      <c r="L16" s="110" t="n"/>
      <c r="M16" s="109" t="n"/>
      <c r="N16" s="110" t="n"/>
      <c r="O16" s="109" t="n"/>
      <c r="P16" s="110" t="n"/>
      <c r="Q16" s="109" t="n"/>
      <c r="R16" s="110" t="n"/>
      <c r="S16" s="109" t="n"/>
      <c r="T16" s="208" t="n"/>
      <c r="U16" s="211" t="inlineStr">
        <is>
          <t>KESTANELİ TEK</t>
        </is>
      </c>
      <c r="V16" s="454">
        <f>D16+F16+H16+J16+L16+N16+P16+R16+T16</f>
        <v/>
      </c>
      <c r="W16" s="564" t="n"/>
      <c r="X16" s="565" t="n"/>
    </row>
    <row r="17" ht="65" customHeight="1">
      <c r="A17" s="420" t="inlineStr">
        <is>
          <t>PROFİTEROL TEK</t>
        </is>
      </c>
      <c r="B17" s="564" t="n"/>
      <c r="C17" s="564" t="n"/>
      <c r="D17" s="111" t="n"/>
      <c r="E17" s="109" t="n"/>
      <c r="F17" s="111" t="n"/>
      <c r="G17" s="109" t="n"/>
      <c r="H17" s="111" t="n"/>
      <c r="I17" s="109" t="n"/>
      <c r="J17" s="111" t="n"/>
      <c r="K17" s="109" t="n"/>
      <c r="L17" s="110" t="n"/>
      <c r="M17" s="109" t="n"/>
      <c r="N17" s="110" t="n"/>
      <c r="O17" s="109" t="n"/>
      <c r="P17" s="110" t="n"/>
      <c r="Q17" s="109" t="n"/>
      <c r="R17" s="110" t="n"/>
      <c r="S17" s="109" t="n"/>
      <c r="T17" s="208" t="n"/>
      <c r="U17" s="211" t="inlineStr">
        <is>
          <t>PROFİTEROL TEK</t>
        </is>
      </c>
      <c r="V17" s="454">
        <f>D17+F17+H17+J17+L17+N17+P17+R17+T17</f>
        <v/>
      </c>
      <c r="W17" s="564" t="n"/>
      <c r="X17" s="565" t="n"/>
    </row>
    <row r="18" ht="65" customHeight="1">
      <c r="A18" s="420" t="inlineStr">
        <is>
          <t>GANAJ TEK</t>
        </is>
      </c>
      <c r="B18" s="564" t="n"/>
      <c r="C18" s="564" t="n"/>
      <c r="D18" s="111" t="n"/>
      <c r="E18" s="109" t="n"/>
      <c r="F18" s="111" t="n"/>
      <c r="G18" s="109" t="n"/>
      <c r="H18" s="111" t="n"/>
      <c r="I18" s="109" t="n"/>
      <c r="J18" s="111" t="n"/>
      <c r="K18" s="109" t="n"/>
      <c r="L18" s="110" t="n"/>
      <c r="M18" s="109" t="n"/>
      <c r="N18" s="110" t="n"/>
      <c r="O18" s="109" t="n"/>
      <c r="P18" s="110" t="n"/>
      <c r="Q18" s="109" t="n"/>
      <c r="R18" s="110" t="n"/>
      <c r="S18" s="109" t="n"/>
      <c r="T18" s="208" t="n"/>
      <c r="U18" s="211" t="inlineStr">
        <is>
          <t>GANAJ TEK</t>
        </is>
      </c>
      <c r="V18" s="454">
        <f>D18+F18+H18+J18+L18+N18+P18+R18+T18</f>
        <v/>
      </c>
      <c r="W18" s="564" t="n"/>
      <c r="X18" s="565" t="n"/>
    </row>
    <row r="19" ht="65" customHeight="1">
      <c r="A19" s="420" t="inlineStr">
        <is>
          <t>FRAMBUAZ SİYAH TEK</t>
        </is>
      </c>
      <c r="B19" s="564" t="n"/>
      <c r="C19" s="564" t="n"/>
      <c r="D19" s="111" t="n"/>
      <c r="E19" s="109" t="n"/>
      <c r="F19" s="111" t="n"/>
      <c r="G19" s="109" t="n"/>
      <c r="H19" s="111" t="n"/>
      <c r="I19" s="109" t="n"/>
      <c r="J19" s="111" t="n"/>
      <c r="K19" s="109" t="n"/>
      <c r="L19" s="110" t="n"/>
      <c r="M19" s="109" t="n"/>
      <c r="N19" s="110" t="n"/>
      <c r="O19" s="109" t="n"/>
      <c r="P19" s="110" t="n"/>
      <c r="Q19" s="109" t="n"/>
      <c r="R19" s="110" t="n"/>
      <c r="S19" s="109" t="n"/>
      <c r="T19" s="208" t="n"/>
      <c r="U19" s="211" t="inlineStr">
        <is>
          <t>FRAMBUAZ SİYAH TEK</t>
        </is>
      </c>
      <c r="V19" s="454">
        <f>D19+F19+H19+J19+L19+N19+P19+R19+T19</f>
        <v/>
      </c>
      <c r="W19" s="564" t="n"/>
      <c r="X19" s="565" t="n"/>
    </row>
    <row r="20" ht="65" customHeight="1">
      <c r="A20" s="420" t="inlineStr">
        <is>
          <t>FRAMBUAZ BEYAZ TEK</t>
        </is>
      </c>
      <c r="B20" s="564" t="n"/>
      <c r="C20" s="564" t="n"/>
      <c r="D20" s="111" t="n"/>
      <c r="E20" s="109" t="n"/>
      <c r="F20" s="111" t="n"/>
      <c r="G20" s="109" t="n"/>
      <c r="H20" s="111" t="n"/>
      <c r="I20" s="109" t="n"/>
      <c r="J20" s="111" t="n"/>
      <c r="K20" s="109" t="n"/>
      <c r="L20" s="110" t="n"/>
      <c r="M20" s="109" t="n"/>
      <c r="N20" s="110" t="n"/>
      <c r="O20" s="109" t="n"/>
      <c r="P20" s="110" t="n"/>
      <c r="Q20" s="109" t="n"/>
      <c r="R20" s="110" t="n"/>
      <c r="S20" s="109" t="n"/>
      <c r="T20" s="208" t="n"/>
      <c r="U20" s="211" t="inlineStr">
        <is>
          <t>FRAMBUAZ BEYAZ TEK</t>
        </is>
      </c>
      <c r="V20" s="454">
        <f>D20+F20+H20+J20+L20+N20+P20+R20+T20</f>
        <v/>
      </c>
      <c r="W20" s="564" t="n"/>
      <c r="X20" s="565" t="n"/>
    </row>
    <row r="21" ht="65" customHeight="1">
      <c r="A21" s="420" t="inlineStr">
        <is>
          <t xml:space="preserve">LATTE </t>
        </is>
      </c>
      <c r="B21" s="564" t="n"/>
      <c r="C21" s="564" t="n"/>
      <c r="D21" s="110" t="n"/>
      <c r="E21" s="109" t="n"/>
      <c r="F21" s="110" t="n"/>
      <c r="G21" s="109" t="n"/>
      <c r="H21" s="110" t="n"/>
      <c r="I21" s="109" t="n"/>
      <c r="J21" s="110" t="n"/>
      <c r="K21" s="109" t="n"/>
      <c r="L21" s="110" t="n"/>
      <c r="M21" s="109" t="n"/>
      <c r="N21" s="110" t="n"/>
      <c r="O21" s="109" t="n"/>
      <c r="P21" s="110" t="n"/>
      <c r="Q21" s="109" t="n"/>
      <c r="R21" s="110" t="n"/>
      <c r="S21" s="109" t="n"/>
      <c r="T21" s="208" t="n"/>
      <c r="U21" s="211" t="inlineStr">
        <is>
          <t xml:space="preserve">LATTE </t>
        </is>
      </c>
      <c r="V21" s="454">
        <f>D21+F21+H21+J21+L21+N21+P21+R21+T21</f>
        <v/>
      </c>
      <c r="W21" s="564" t="n"/>
      <c r="X21" s="565" t="n"/>
    </row>
    <row r="22" ht="65" customHeight="1">
      <c r="A22" s="420" t="inlineStr">
        <is>
          <t>KAZANDİBİ</t>
        </is>
      </c>
      <c r="B22" s="564" t="n"/>
      <c r="C22" s="564" t="n"/>
      <c r="D22" s="110" t="n"/>
      <c r="E22" s="109" t="n"/>
      <c r="F22" s="110" t="n"/>
      <c r="G22" s="109" t="n"/>
      <c r="H22" s="110" t="n"/>
      <c r="I22" s="109" t="n"/>
      <c r="J22" s="110" t="n"/>
      <c r="K22" s="109" t="n"/>
      <c r="L22" s="110" t="n"/>
      <c r="M22" s="109" t="n"/>
      <c r="N22" s="110" t="n"/>
      <c r="O22" s="109" t="n"/>
      <c r="P22" s="110" t="n"/>
      <c r="Q22" s="109" t="n"/>
      <c r="R22" s="110" t="n"/>
      <c r="S22" s="109" t="n"/>
      <c r="T22" s="208" t="n"/>
      <c r="U22" s="211" t="inlineStr">
        <is>
          <t>KAZANDİBİ</t>
        </is>
      </c>
      <c r="V22" s="454">
        <f>D22+F22+H22+J22+L22+N22+P22+R22+T22</f>
        <v/>
      </c>
      <c r="W22" s="564" t="n"/>
      <c r="X22" s="565" t="n"/>
    </row>
    <row r="23" ht="65" customHeight="1">
      <c r="A23" s="420" t="inlineStr">
        <is>
          <t>SÜTLAÇ</t>
        </is>
      </c>
      <c r="B23" s="564" t="n"/>
      <c r="C23" s="564" t="n"/>
      <c r="D23" s="110" t="n"/>
      <c r="E23" s="109" t="n"/>
      <c r="F23" s="110" t="n"/>
      <c r="G23" s="109" t="n"/>
      <c r="H23" s="110" t="n"/>
      <c r="I23" s="109" t="n"/>
      <c r="J23" s="110" t="n"/>
      <c r="K23" s="109" t="n"/>
      <c r="L23" s="110" t="n"/>
      <c r="M23" s="109" t="n"/>
      <c r="N23" s="110" t="n"/>
      <c r="O23" s="109" t="n"/>
      <c r="P23" s="110" t="n"/>
      <c r="Q23" s="109" t="n"/>
      <c r="R23" s="110" t="n"/>
      <c r="S23" s="109" t="n"/>
      <c r="T23" s="208" t="n"/>
      <c r="U23" s="211" t="inlineStr">
        <is>
          <t>SÜTLAÇ</t>
        </is>
      </c>
      <c r="V23" s="454">
        <f>D23+F23+H23+J23+L23+N23+P23+R23+T23</f>
        <v/>
      </c>
      <c r="W23" s="564" t="n"/>
      <c r="X23" s="565" t="n"/>
    </row>
    <row r="24" ht="65" customHeight="1">
      <c r="A24" s="420" t="inlineStr">
        <is>
          <t>TRİLEÇE FRAMBUAZ</t>
        </is>
      </c>
      <c r="B24" s="564" t="n"/>
      <c r="C24" s="564" t="n"/>
      <c r="D24" s="110" t="n"/>
      <c r="E24" s="109" t="n"/>
      <c r="F24" s="110" t="n"/>
      <c r="G24" s="109" t="n"/>
      <c r="H24" s="110" t="n"/>
      <c r="I24" s="109" t="n"/>
      <c r="J24" s="110" t="n"/>
      <c r="K24" s="109" t="n"/>
      <c r="L24" s="110" t="n"/>
      <c r="M24" s="109" t="n"/>
      <c r="N24" s="110" t="n"/>
      <c r="O24" s="109" t="n"/>
      <c r="P24" s="110" t="n"/>
      <c r="Q24" s="109" t="n"/>
      <c r="R24" s="110" t="n"/>
      <c r="S24" s="109" t="n"/>
      <c r="T24" s="208" t="n"/>
      <c r="U24" s="211" t="inlineStr">
        <is>
          <t>TRİLEÇE FRAMBUAZ</t>
        </is>
      </c>
      <c r="V24" s="454">
        <f>D24+F24+H24+J24+L24+N24+P24+R24+T24</f>
        <v/>
      </c>
      <c r="W24" s="564" t="n"/>
      <c r="X24" s="565" t="n"/>
    </row>
    <row r="25" ht="65" customHeight="1">
      <c r="A25" s="420" t="inlineStr">
        <is>
          <t>TRİLEÇE KARAMEL</t>
        </is>
      </c>
      <c r="B25" s="564" t="n"/>
      <c r="C25" s="564" t="n"/>
      <c r="D25" s="110" t="n"/>
      <c r="E25" s="109" t="n"/>
      <c r="F25" s="110" t="n"/>
      <c r="G25" s="109" t="n"/>
      <c r="H25" s="110" t="n"/>
      <c r="I25" s="109" t="n"/>
      <c r="J25" s="110" t="n"/>
      <c r="K25" s="109" t="n"/>
      <c r="L25" s="110" t="n"/>
      <c r="M25" s="109" t="n"/>
      <c r="N25" s="110" t="n"/>
      <c r="O25" s="109" t="n"/>
      <c r="P25" s="110" t="n"/>
      <c r="Q25" s="109" t="n"/>
      <c r="R25" s="110" t="n"/>
      <c r="S25" s="109" t="n"/>
      <c r="T25" s="208" t="n"/>
      <c r="U25" s="211" t="inlineStr">
        <is>
          <t>TRİLEÇE KARAMEL</t>
        </is>
      </c>
      <c r="V25" s="454">
        <f>D25+F25+H25+J25+L25+N25+P25+R25+T25</f>
        <v/>
      </c>
      <c r="W25" s="564" t="n"/>
      <c r="X25" s="565" t="n"/>
    </row>
    <row r="26" ht="65" customHeight="1">
      <c r="A26" s="420" t="inlineStr">
        <is>
          <t>AŞURE</t>
        </is>
      </c>
      <c r="B26" s="564" t="n"/>
      <c r="C26" s="564" t="n"/>
      <c r="D26" s="110" t="n"/>
      <c r="E26" s="109" t="n"/>
      <c r="F26" s="110" t="n"/>
      <c r="G26" s="109" t="n"/>
      <c r="H26" s="110" t="n"/>
      <c r="I26" s="109" t="n"/>
      <c r="J26" s="110" t="n"/>
      <c r="K26" s="109" t="n"/>
      <c r="L26" s="110" t="n"/>
      <c r="M26" s="109" t="n"/>
      <c r="N26" s="110" t="n"/>
      <c r="O26" s="109" t="n"/>
      <c r="P26" s="110" t="n"/>
      <c r="Q26" s="109" t="n"/>
      <c r="R26" s="110" t="n"/>
      <c r="S26" s="109" t="n"/>
      <c r="T26" s="208" t="n"/>
      <c r="U26" s="211" t="inlineStr">
        <is>
          <t>AŞURE</t>
        </is>
      </c>
      <c r="V26" s="454">
        <f>D26+F26+H26+J26+L26+N26+P26+R26+T26</f>
        <v/>
      </c>
      <c r="W26" s="564" t="n"/>
      <c r="X26" s="565" t="n"/>
    </row>
    <row r="27" ht="39" customHeight="1">
      <c r="A27" s="429" t="inlineStr">
        <is>
          <t>MİNİ EKLER</t>
        </is>
      </c>
      <c r="B27" s="564" t="n"/>
      <c r="C27" s="564" t="n"/>
      <c r="D27" s="112" t="n"/>
      <c r="E27" s="109" t="n"/>
      <c r="F27" s="112" t="n"/>
      <c r="G27" s="109" t="n"/>
      <c r="H27" s="112" t="n"/>
      <c r="I27" s="109" t="n"/>
      <c r="J27" s="112" t="n"/>
      <c r="K27" s="109" t="n"/>
      <c r="L27" s="112" t="n"/>
      <c r="M27" s="109" t="n"/>
      <c r="N27" s="112" t="n"/>
      <c r="O27" s="109" t="n"/>
      <c r="P27" s="112" t="n"/>
      <c r="Q27" s="109" t="n"/>
      <c r="R27" s="112" t="n"/>
      <c r="S27" s="109" t="n"/>
      <c r="T27" s="209" t="n"/>
      <c r="U27" s="212" t="inlineStr">
        <is>
          <t>MİNİ EKLER</t>
        </is>
      </c>
      <c r="V27" s="464" t="n"/>
      <c r="W27" s="207" t="n"/>
      <c r="X27" s="213" t="n"/>
    </row>
    <row r="28" ht="65" customHeight="1">
      <c r="A28" s="420" t="inlineStr">
        <is>
          <t>ÇİKOLATALI EKLER</t>
        </is>
      </c>
      <c r="B28" s="564" t="n"/>
      <c r="C28" s="564" t="n"/>
      <c r="D28" s="110" t="n"/>
      <c r="E28" s="109" t="n"/>
      <c r="F28" s="110" t="n"/>
      <c r="G28" s="109" t="n"/>
      <c r="H28" s="110" t="n"/>
      <c r="I28" s="109" t="n"/>
      <c r="J28" s="110" t="n"/>
      <c r="K28" s="109" t="n"/>
      <c r="L28" s="110" t="n"/>
      <c r="M28" s="109" t="n"/>
      <c r="N28" s="110" t="n"/>
      <c r="O28" s="109" t="n"/>
      <c r="P28" s="110" t="n"/>
      <c r="Q28" s="109" t="n"/>
      <c r="R28" s="110" t="n"/>
      <c r="S28" s="109" t="n"/>
      <c r="T28" s="208" t="n"/>
      <c r="U28" s="211" t="inlineStr">
        <is>
          <t>ÇİKOLATALI EKLER</t>
        </is>
      </c>
      <c r="V28" s="454">
        <f>D28+F28+H28+J28+L28+N28+P28+R28+T28</f>
        <v/>
      </c>
      <c r="W28" s="564" t="n"/>
      <c r="X28" s="565" t="n"/>
    </row>
    <row r="29" ht="65" customHeight="1">
      <c r="A29" s="420" t="inlineStr">
        <is>
          <t>LİMONLU EKLER</t>
        </is>
      </c>
      <c r="B29" s="564" t="n"/>
      <c r="C29" s="564" t="n"/>
      <c r="D29" s="110" t="n"/>
      <c r="E29" s="109" t="n"/>
      <c r="F29" s="110" t="n"/>
      <c r="G29" s="109" t="n"/>
      <c r="H29" s="110" t="n"/>
      <c r="I29" s="109" t="n"/>
      <c r="J29" s="110" t="n"/>
      <c r="K29" s="109" t="n"/>
      <c r="L29" s="110" t="n"/>
      <c r="M29" s="109" t="n"/>
      <c r="N29" s="110" t="n"/>
      <c r="O29" s="109" t="n"/>
      <c r="P29" s="110" t="n"/>
      <c r="Q29" s="109" t="n"/>
      <c r="R29" s="110" t="n"/>
      <c r="S29" s="109" t="n"/>
      <c r="T29" s="208" t="n"/>
      <c r="U29" s="211" t="inlineStr">
        <is>
          <t>LİMONLU EKLER</t>
        </is>
      </c>
      <c r="V29" s="454">
        <f>D29+F29+H29+J29+L29+N29+P29+R29+T29</f>
        <v/>
      </c>
      <c r="W29" s="564" t="n"/>
      <c r="X29" s="565" t="n"/>
    </row>
    <row r="30" ht="65" customHeight="1">
      <c r="A30" s="431" t="inlineStr">
        <is>
          <t>BEYAZ EKLER</t>
        </is>
      </c>
      <c r="B30" s="564" t="n"/>
      <c r="C30" s="564" t="n"/>
      <c r="D30" s="110" t="n"/>
      <c r="E30" s="109" t="n"/>
      <c r="F30" s="110" t="n"/>
      <c r="G30" s="109" t="n"/>
      <c r="H30" s="110" t="n"/>
      <c r="I30" s="109" t="n"/>
      <c r="J30" s="110" t="n"/>
      <c r="K30" s="109" t="n"/>
      <c r="L30" s="110" t="n"/>
      <c r="M30" s="109" t="n"/>
      <c r="N30" s="110" t="n"/>
      <c r="O30" s="109" t="n"/>
      <c r="P30" s="110" t="n"/>
      <c r="Q30" s="109" t="n"/>
      <c r="R30" s="110" t="n"/>
      <c r="S30" s="109" t="n"/>
      <c r="T30" s="208" t="n"/>
      <c r="U30" s="214" t="inlineStr">
        <is>
          <t>BEYAZ EKLER</t>
        </is>
      </c>
      <c r="V30" s="454">
        <f>D30+F30+H30+J30+L30+N30+P30+R30+T30</f>
        <v/>
      </c>
      <c r="W30" s="564" t="n"/>
      <c r="X30" s="565" t="n"/>
    </row>
    <row r="31" ht="65" customHeight="1">
      <c r="A31" s="433" t="inlineStr">
        <is>
          <t>PETİFÜR</t>
        </is>
      </c>
      <c r="B31" s="567" t="n"/>
      <c r="C31" s="567" t="n"/>
      <c r="D31" s="110" t="n"/>
      <c r="E31" s="109" t="n"/>
      <c r="F31" s="110" t="n"/>
      <c r="G31" s="109" t="n"/>
      <c r="H31" s="110" t="n"/>
      <c r="I31" s="109" t="n"/>
      <c r="J31" s="110" t="n"/>
      <c r="K31" s="109" t="n"/>
      <c r="L31" s="110" t="n"/>
      <c r="M31" s="109" t="n"/>
      <c r="N31" s="110" t="n"/>
      <c r="O31" s="109" t="n"/>
      <c r="P31" s="110" t="n"/>
      <c r="Q31" s="109" t="n"/>
      <c r="R31" s="110" t="n"/>
      <c r="S31" s="109" t="n"/>
      <c r="T31" s="208" t="n"/>
      <c r="U31" s="211" t="inlineStr">
        <is>
          <t>PETİFÜR</t>
        </is>
      </c>
      <c r="V31" s="454">
        <f>D31+F31+H31+J31+L31+N31+P31+R31+T31</f>
        <v/>
      </c>
      <c r="W31" s="564" t="n"/>
      <c r="X31" s="565" t="n"/>
    </row>
    <row r="32" ht="65" customHeight="1">
      <c r="A32" s="424" t="inlineStr">
        <is>
          <t>RULO PETİFÜR MUZLU</t>
        </is>
      </c>
      <c r="B32" s="564" t="n"/>
      <c r="C32" s="565" t="n"/>
      <c r="D32" s="110" t="n"/>
      <c r="E32" s="109" t="n"/>
      <c r="F32" s="110" t="n"/>
      <c r="G32" s="109" t="n"/>
      <c r="H32" s="110" t="n"/>
      <c r="I32" s="109" t="n"/>
      <c r="J32" s="110" t="n"/>
      <c r="K32" s="109" t="n"/>
      <c r="L32" s="110" t="n"/>
      <c r="M32" s="109" t="n"/>
      <c r="N32" s="110" t="n"/>
      <c r="O32" s="109" t="n"/>
      <c r="P32" s="110" t="n"/>
      <c r="Q32" s="109" t="n"/>
      <c r="R32" s="110" t="n"/>
      <c r="S32" s="109" t="n"/>
      <c r="T32" s="208" t="n"/>
      <c r="U32" s="211" t="inlineStr">
        <is>
          <t>RULO PETİFÜR MUZLU</t>
        </is>
      </c>
      <c r="V32" s="454">
        <f>D32+F32+H32+J32+L32+N32+P32+R32+T32</f>
        <v/>
      </c>
      <c r="W32" s="564" t="n"/>
      <c r="X32" s="565" t="n"/>
    </row>
    <row r="33" ht="65" customHeight="1">
      <c r="A33" s="424" t="inlineStr">
        <is>
          <t>RULO PETİFÜR ÇİLEK</t>
        </is>
      </c>
      <c r="B33" s="564" t="n"/>
      <c r="C33" s="565" t="n"/>
      <c r="D33" s="110" t="n"/>
      <c r="E33" s="109" t="n"/>
      <c r="F33" s="110" t="n"/>
      <c r="G33" s="109" t="n"/>
      <c r="H33" s="110" t="n"/>
      <c r="I33" s="109" t="n"/>
      <c r="J33" s="110" t="n"/>
      <c r="K33" s="109" t="n"/>
      <c r="L33" s="110" t="n"/>
      <c r="M33" s="109" t="n"/>
      <c r="N33" s="110" t="n"/>
      <c r="O33" s="109" t="n"/>
      <c r="P33" s="110" t="n"/>
      <c r="Q33" s="109" t="n"/>
      <c r="R33" s="110" t="n"/>
      <c r="S33" s="109" t="n"/>
      <c r="T33" s="208" t="n"/>
      <c r="U33" s="211" t="inlineStr">
        <is>
          <t>RULO PETİFÜR ÇİLEK</t>
        </is>
      </c>
      <c r="V33" s="454">
        <f>D33+F33+H33+J33+L33+N33+P33+R33+T33</f>
        <v/>
      </c>
      <c r="W33" s="564" t="n"/>
      <c r="X33" s="565" t="n"/>
    </row>
    <row r="34" ht="65" customHeight="1">
      <c r="A34" s="424" t="inlineStr">
        <is>
          <t>ÇİKO LİMON PARFE</t>
        </is>
      </c>
      <c r="B34" s="564" t="n"/>
      <c r="C34" s="565" t="n"/>
      <c r="D34" s="110" t="n"/>
      <c r="E34" s="109" t="n"/>
      <c r="F34" s="110" t="n"/>
      <c r="G34" s="109" t="n"/>
      <c r="H34" s="110" t="n"/>
      <c r="I34" s="109" t="n"/>
      <c r="J34" s="110" t="n"/>
      <c r="K34" s="109" t="n"/>
      <c r="L34" s="110" t="n"/>
      <c r="M34" s="109" t="n"/>
      <c r="N34" s="110" t="n"/>
      <c r="O34" s="109" t="n"/>
      <c r="P34" s="110" t="n"/>
      <c r="Q34" s="109" t="n"/>
      <c r="R34" s="110" t="n"/>
      <c r="S34" s="109" t="n"/>
      <c r="T34" s="208" t="n"/>
      <c r="U34" s="211" t="inlineStr">
        <is>
          <t>ÇİKO LİMON PARFE</t>
        </is>
      </c>
      <c r="V34" s="454">
        <f>D34+F34+H34+J34+L34+N34+P34+R34+T34</f>
        <v/>
      </c>
      <c r="W34" s="564" t="n"/>
      <c r="X34" s="565" t="n"/>
    </row>
    <row r="35" ht="65" customHeight="1">
      <c r="A35" s="424" t="inlineStr">
        <is>
          <t>ÇİLEKLİ ADET RULO</t>
        </is>
      </c>
      <c r="B35" s="564" t="n"/>
      <c r="C35" s="565" t="n"/>
      <c r="D35" s="110" t="n"/>
      <c r="E35" s="109" t="n"/>
      <c r="F35" s="110" t="n"/>
      <c r="G35" s="109" t="n"/>
      <c r="H35" s="110" t="n"/>
      <c r="I35" s="109" t="n"/>
      <c r="J35" s="110" t="n"/>
      <c r="K35" s="109" t="n"/>
      <c r="L35" s="110" t="n"/>
      <c r="M35" s="109" t="n"/>
      <c r="N35" s="110" t="n"/>
      <c r="O35" s="109" t="n"/>
      <c r="P35" s="110" t="n"/>
      <c r="Q35" s="109" t="n"/>
      <c r="R35" s="110" t="n"/>
      <c r="S35" s="109" t="n"/>
      <c r="T35" s="208" t="n"/>
      <c r="U35" s="211" t="inlineStr">
        <is>
          <t>ÇİLEKLİ ADET RULO</t>
        </is>
      </c>
      <c r="V35" s="454">
        <f>D35+F35+H35+J35+L35+N35+P35+R35+T35</f>
        <v/>
      </c>
      <c r="W35" s="564" t="n"/>
      <c r="X35" s="565" t="n"/>
    </row>
    <row r="36" ht="65" customHeight="1">
      <c r="A36" s="424" t="inlineStr">
        <is>
          <t>MUZLU ADET RULO</t>
        </is>
      </c>
      <c r="B36" s="564" t="n"/>
      <c r="C36" s="565" t="n"/>
      <c r="D36" s="110" t="n"/>
      <c r="E36" s="109" t="n"/>
      <c r="F36" s="110" t="n"/>
      <c r="G36" s="109" t="n"/>
      <c r="H36" s="110" t="n"/>
      <c r="I36" s="109" t="n"/>
      <c r="J36" s="110" t="n"/>
      <c r="K36" s="109" t="n"/>
      <c r="L36" s="110" t="n"/>
      <c r="M36" s="109" t="n"/>
      <c r="N36" s="110" t="n"/>
      <c r="O36" s="109" t="n"/>
      <c r="P36" s="110" t="n"/>
      <c r="Q36" s="109" t="n"/>
      <c r="R36" s="110" t="n"/>
      <c r="S36" s="109" t="n"/>
      <c r="T36" s="208" t="n"/>
      <c r="U36" s="211" t="inlineStr">
        <is>
          <t>MUZLU ADET RULO</t>
        </is>
      </c>
      <c r="V36" s="454">
        <f>D36+F36+H36+J36+L36+N36+P36+R36+T36</f>
        <v/>
      </c>
      <c r="W36" s="564" t="n"/>
      <c r="X36" s="565" t="n"/>
    </row>
    <row r="37" ht="37" customHeight="1">
      <c r="A37" s="435" t="inlineStr">
        <is>
          <t>DİLİM CHEESECAKELER</t>
        </is>
      </c>
      <c r="B37" s="564" t="n"/>
      <c r="C37" s="565" t="n"/>
      <c r="D37" s="112" t="n"/>
      <c r="E37" s="109" t="n"/>
      <c r="F37" s="112" t="n"/>
      <c r="G37" s="109" t="n"/>
      <c r="H37" s="112" t="n"/>
      <c r="I37" s="109" t="n"/>
      <c r="J37" s="112" t="n"/>
      <c r="K37" s="109" t="n"/>
      <c r="L37" s="112" t="n"/>
      <c r="M37" s="109" t="n"/>
      <c r="N37" s="112" t="n"/>
      <c r="O37" s="109" t="n"/>
      <c r="P37" s="112" t="n"/>
      <c r="Q37" s="109" t="n"/>
      <c r="R37" s="112" t="n"/>
      <c r="S37" s="109" t="n"/>
      <c r="T37" s="209" t="n"/>
      <c r="U37" s="218" t="inlineStr">
        <is>
          <t>DİLİM CHEESECAKELER</t>
        </is>
      </c>
      <c r="V37" s="464" t="n"/>
      <c r="W37" s="564" t="n"/>
      <c r="X37" s="565" t="n"/>
    </row>
    <row r="38" ht="45" customHeight="1">
      <c r="A38" s="424" t="inlineStr">
        <is>
          <t>FRAMBUAZLI TEK</t>
        </is>
      </c>
      <c r="B38" s="564" t="n"/>
      <c r="C38" s="565" t="n"/>
      <c r="D38" s="111" t="n"/>
      <c r="E38" s="109" t="n"/>
      <c r="F38" s="111" t="n"/>
      <c r="G38" s="109" t="n"/>
      <c r="H38" s="111" t="n"/>
      <c r="I38" s="109" t="n"/>
      <c r="J38" s="111" t="n"/>
      <c r="K38" s="109" t="n"/>
      <c r="L38" s="110" t="n"/>
      <c r="M38" s="109" t="n"/>
      <c r="N38" s="110" t="n"/>
      <c r="O38" s="109" t="n"/>
      <c r="P38" s="110" t="n"/>
      <c r="Q38" s="109" t="n"/>
      <c r="R38" s="110" t="n"/>
      <c r="S38" s="109" t="n"/>
      <c r="T38" s="208" t="n"/>
      <c r="U38" s="211" t="inlineStr">
        <is>
          <t>FRAMBUAZLI TEK</t>
        </is>
      </c>
      <c r="V38" s="454">
        <f>L38+N38+P38+R38+T38</f>
        <v/>
      </c>
      <c r="W38" s="564" t="n"/>
      <c r="X38" s="565" t="n"/>
    </row>
    <row r="39" ht="45" customHeight="1">
      <c r="A39" s="424" t="inlineStr">
        <is>
          <t>LİMONLU TEK</t>
        </is>
      </c>
      <c r="B39" s="564" t="n"/>
      <c r="C39" s="565" t="n"/>
      <c r="D39" s="111" t="n"/>
      <c r="E39" s="109" t="n"/>
      <c r="F39" s="111" t="n"/>
      <c r="G39" s="109" t="n"/>
      <c r="H39" s="111" t="n"/>
      <c r="I39" s="109" t="n"/>
      <c r="J39" s="111" t="n"/>
      <c r="K39" s="109" t="n"/>
      <c r="L39" s="110" t="n"/>
      <c r="M39" s="109" t="n"/>
      <c r="N39" s="110" t="n"/>
      <c r="O39" s="109" t="n"/>
      <c r="P39" s="110" t="n"/>
      <c r="Q39" s="109" t="n"/>
      <c r="R39" s="110" t="n"/>
      <c r="S39" s="109" t="n"/>
      <c r="T39" s="208" t="n"/>
      <c r="U39" s="211" t="inlineStr">
        <is>
          <t>LİMONLU TEK</t>
        </is>
      </c>
      <c r="V39" s="454">
        <f>L39+N39+P39+R39+T39</f>
        <v/>
      </c>
      <c r="W39" s="564" t="n"/>
      <c r="X39" s="565" t="n"/>
    </row>
    <row r="40" ht="45" customHeight="1">
      <c r="A40" s="424" t="inlineStr">
        <is>
          <t>ÇİLEKLİ TEK</t>
        </is>
      </c>
      <c r="B40" s="564" t="n"/>
      <c r="C40" s="565" t="n"/>
      <c r="D40" s="111" t="n"/>
      <c r="E40" s="109" t="n"/>
      <c r="F40" s="111" t="n"/>
      <c r="G40" s="109" t="n"/>
      <c r="H40" s="111" t="n"/>
      <c r="I40" s="109" t="n"/>
      <c r="J40" s="111" t="n"/>
      <c r="K40" s="109" t="n"/>
      <c r="L40" s="110" t="n"/>
      <c r="M40" s="109" t="n"/>
      <c r="N40" s="110" t="n"/>
      <c r="O40" s="109" t="n"/>
      <c r="P40" s="110" t="n"/>
      <c r="Q40" s="109" t="n"/>
      <c r="R40" s="110" t="n"/>
      <c r="S40" s="109" t="n"/>
      <c r="T40" s="208" t="n"/>
      <c r="U40" s="211" t="inlineStr">
        <is>
          <t>ÇİLEKLİ TEK</t>
        </is>
      </c>
      <c r="V40" s="454">
        <f>L40+N40+P40+R40+T40</f>
        <v/>
      </c>
      <c r="W40" s="564" t="n"/>
      <c r="X40" s="565" t="n"/>
    </row>
    <row r="41" ht="45" customHeight="1" thickBot="1">
      <c r="A41" s="424" t="inlineStr">
        <is>
          <t>ÇİKOLATALI TEK</t>
        </is>
      </c>
      <c r="B41" s="564" t="n"/>
      <c r="C41" s="565" t="n"/>
      <c r="D41" s="111" t="n"/>
      <c r="E41" s="109" t="n"/>
      <c r="F41" s="111" t="n"/>
      <c r="G41" s="109" t="n"/>
      <c r="H41" s="111" t="n"/>
      <c r="I41" s="109" t="n"/>
      <c r="J41" s="111" t="n"/>
      <c r="K41" s="109" t="n"/>
      <c r="L41" s="110" t="n"/>
      <c r="M41" s="109" t="n"/>
      <c r="N41" s="110" t="n"/>
      <c r="O41" s="109" t="n"/>
      <c r="P41" s="110" t="n"/>
      <c r="Q41" s="109" t="n"/>
      <c r="R41" s="110" t="n"/>
      <c r="S41" s="109" t="n"/>
      <c r="T41" s="208" t="n"/>
      <c r="U41" s="215" t="inlineStr">
        <is>
          <t>ÇİKOLATALI TEK</t>
        </is>
      </c>
      <c r="V41" s="466">
        <f>L41+N41+P41+R41+T41</f>
        <v/>
      </c>
      <c r="W41" s="619" t="n"/>
      <c r="X41" s="620" t="n"/>
    </row>
  </sheetData>
  <mergeCells count="85">
    <mergeCell ref="V10:X10"/>
    <mergeCell ref="V24:X24"/>
    <mergeCell ref="A37:C37"/>
    <mergeCell ref="L3:L4"/>
    <mergeCell ref="N3:N4"/>
    <mergeCell ref="F3:F4"/>
    <mergeCell ref="A21:C21"/>
    <mergeCell ref="V39:X39"/>
    <mergeCell ref="V3:X4"/>
    <mergeCell ref="A26:C26"/>
    <mergeCell ref="V36:X36"/>
    <mergeCell ref="A23:C23"/>
    <mergeCell ref="V22:X22"/>
    <mergeCell ref="V37:X37"/>
    <mergeCell ref="V12:X12"/>
    <mergeCell ref="A34:C34"/>
    <mergeCell ref="V21:X21"/>
    <mergeCell ref="V14:X14"/>
    <mergeCell ref="V23:X23"/>
    <mergeCell ref="A6:C6"/>
    <mergeCell ref="V13:X13"/>
    <mergeCell ref="A12:C12"/>
    <mergeCell ref="A5:C5"/>
    <mergeCell ref="A32:C32"/>
    <mergeCell ref="V41:X41"/>
    <mergeCell ref="A14:C14"/>
    <mergeCell ref="D3:D4"/>
    <mergeCell ref="A29:C29"/>
    <mergeCell ref="V25:X25"/>
    <mergeCell ref="A38:C38"/>
    <mergeCell ref="A13:C13"/>
    <mergeCell ref="A31:C31"/>
    <mergeCell ref="A40:C40"/>
    <mergeCell ref="T3:T4"/>
    <mergeCell ref="A15:C15"/>
    <mergeCell ref="V17:X17"/>
    <mergeCell ref="A24:C24"/>
    <mergeCell ref="V5:X5"/>
    <mergeCell ref="V20:X20"/>
    <mergeCell ref="A7:C7"/>
    <mergeCell ref="V29:X29"/>
    <mergeCell ref="A16:C16"/>
    <mergeCell ref="A25:C25"/>
    <mergeCell ref="V31:X31"/>
    <mergeCell ref="A18:C18"/>
    <mergeCell ref="V40:X40"/>
    <mergeCell ref="V15:X15"/>
    <mergeCell ref="V32:X32"/>
    <mergeCell ref="A22:C22"/>
    <mergeCell ref="V26:X26"/>
    <mergeCell ref="V7:X7"/>
    <mergeCell ref="A20:C20"/>
    <mergeCell ref="V16:X16"/>
    <mergeCell ref="A28:C28"/>
    <mergeCell ref="P3:P4"/>
    <mergeCell ref="R3:R4"/>
    <mergeCell ref="H3:H4"/>
    <mergeCell ref="V18:X18"/>
    <mergeCell ref="J3:J4"/>
    <mergeCell ref="A30:C30"/>
    <mergeCell ref="V33:X33"/>
    <mergeCell ref="V35:X35"/>
    <mergeCell ref="V19:X19"/>
    <mergeCell ref="V34:X34"/>
    <mergeCell ref="V28:X28"/>
    <mergeCell ref="A41:C41"/>
    <mergeCell ref="V9:X9"/>
    <mergeCell ref="A27:C27"/>
    <mergeCell ref="V30:X30"/>
    <mergeCell ref="V6:X6"/>
    <mergeCell ref="V11:X11"/>
    <mergeCell ref="A33:C33"/>
    <mergeCell ref="A8:C8"/>
    <mergeCell ref="A17:C17"/>
    <mergeCell ref="U3:U4"/>
    <mergeCell ref="A35:C35"/>
    <mergeCell ref="A10:C10"/>
    <mergeCell ref="A19:C19"/>
    <mergeCell ref="A9:C9"/>
    <mergeCell ref="A39:C39"/>
    <mergeCell ref="A3:C4"/>
    <mergeCell ref="A36:C36"/>
    <mergeCell ref="V38:X38"/>
    <mergeCell ref="A11:C11"/>
    <mergeCell ref="V8:X8"/>
  </mergeCells>
  <pageMargins left="0.7" right="0.7" top="0.75" bottom="0.75" header="0.3" footer="0.3"/>
  <pageSetup orientation="portrait" paperSize="9" scale="3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A102"/>
  <sheetViews>
    <sheetView zoomScale="60" zoomScaleNormal="60" workbookViewId="0">
      <selection activeCell="AF14" sqref="AF14"/>
    </sheetView>
  </sheetViews>
  <sheetFormatPr baseColWidth="10" defaultColWidth="8.83203125" defaultRowHeight="15"/>
  <cols>
    <col width="30.83203125" customWidth="1" min="2" max="2"/>
    <col width="0.1640625" customWidth="1" min="4" max="4"/>
    <col hidden="1" width="8.83203125" customWidth="1" min="5" max="5"/>
    <col width="18.1640625" customWidth="1" min="8" max="8"/>
    <col width="27.6640625" customWidth="1" min="20" max="20"/>
  </cols>
  <sheetData>
    <row r="1" ht="16" customHeight="1" thickBot="1"/>
    <row r="2" ht="16" customHeight="1" thickBot="1">
      <c r="B2" s="621" t="inlineStr">
        <is>
          <t>ÜRÜNLER</t>
        </is>
      </c>
      <c r="C2" s="474" t="inlineStr">
        <is>
          <t>TOPLAM</t>
        </is>
      </c>
      <c r="F2" s="498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</row>
    <row r="3" ht="16" customHeight="1" thickBot="1">
      <c r="B3" s="622" t="n"/>
      <c r="F3" s="498" t="n"/>
      <c r="G3" s="485" t="inlineStr">
        <is>
          <t>BÜTÜN PASTALAR</t>
        </is>
      </c>
      <c r="H3" s="623" t="n"/>
      <c r="I3" s="486" t="inlineStr">
        <is>
          <t>TOPLAM ADET</t>
        </is>
      </c>
      <c r="J3" s="576" t="n"/>
      <c r="K3" s="576" t="n"/>
      <c r="L3" s="576" t="n"/>
      <c r="M3" s="23" t="n"/>
      <c r="N3" s="624" t="inlineStr">
        <is>
          <t>TATLI KURABİYELER</t>
        </is>
      </c>
      <c r="O3" s="625" t="n"/>
      <c r="P3" s="626" t="n"/>
      <c r="Q3" s="506" t="inlineStr">
        <is>
          <t>TOPLAM ADET</t>
        </is>
      </c>
      <c r="R3" s="625" t="n"/>
      <c r="S3" s="23" t="n"/>
      <c r="T3" s="531" t="inlineStr">
        <is>
          <t>PORSİYON TATLILAR</t>
        </is>
      </c>
      <c r="U3" s="627" t="inlineStr">
        <is>
          <t>TOPLAM ADET</t>
        </is>
      </c>
      <c r="V3" s="498" t="n"/>
      <c r="W3" s="628" t="inlineStr">
        <is>
          <t>BÖREKLİ TAS</t>
        </is>
      </c>
      <c r="X3" s="573" t="n"/>
      <c r="Y3" s="629" t="n"/>
      <c r="Z3" s="532" t="inlineStr">
        <is>
          <t>TOPLAM ADET</t>
        </is>
      </c>
      <c r="AA3" s="573" t="n"/>
    </row>
    <row r="4" ht="16" customHeight="1" thickBot="1">
      <c r="B4" s="24" t="inlineStr">
        <is>
          <t>TEK PASTALAR</t>
        </is>
      </c>
      <c r="C4" s="576" t="n"/>
      <c r="D4" s="576" t="n"/>
      <c r="E4" s="576" t="n"/>
      <c r="F4" s="498" t="n"/>
      <c r="G4" s="25" t="n"/>
      <c r="H4" s="26" t="n"/>
      <c r="I4" s="27" t="inlineStr">
        <is>
          <t>NO:0</t>
        </is>
      </c>
      <c r="J4" s="27" t="inlineStr">
        <is>
          <t>NO:1</t>
        </is>
      </c>
      <c r="K4" s="27" t="inlineStr">
        <is>
          <t>NO:2</t>
        </is>
      </c>
      <c r="L4" s="27" t="inlineStr">
        <is>
          <t>NO:3</t>
        </is>
      </c>
      <c r="M4" s="23" t="n"/>
      <c r="N4" s="630" t="inlineStr">
        <is>
          <t>İNCİRLİ COCO</t>
        </is>
      </c>
      <c r="O4" s="631" t="n"/>
      <c r="P4" s="632" t="n"/>
      <c r="Q4" s="630" t="n">
        <v>1</v>
      </c>
      <c r="R4" s="632" t="n"/>
      <c r="S4" s="23" t="n"/>
      <c r="T4" s="633" t="n"/>
      <c r="U4" s="634" t="n"/>
      <c r="V4" s="498" t="n"/>
      <c r="W4" s="635" t="inlineStr">
        <is>
          <t>PEYNİRLİ BÖREKLİTAŞ</t>
        </is>
      </c>
      <c r="X4" s="573" t="n"/>
      <c r="Y4" s="629" t="n"/>
      <c r="Z4" s="636" t="n">
        <v>1</v>
      </c>
      <c r="AA4" s="629" t="n"/>
    </row>
    <row r="5" ht="16" customHeight="1" thickBot="1">
      <c r="B5" s="542" t="inlineStr">
        <is>
          <t>TİRAMİSU</t>
        </is>
      </c>
      <c r="C5" s="637" t="n">
        <v>5</v>
      </c>
      <c r="D5" s="573" t="n"/>
      <c r="E5" s="629" t="n"/>
      <c r="F5" s="498" t="n"/>
      <c r="G5" s="638" t="inlineStr">
        <is>
          <t>*FISTIK ÇİKOLATA DEKORA</t>
        </is>
      </c>
      <c r="H5" s="639" t="n"/>
      <c r="I5" s="27" t="n">
        <v>2</v>
      </c>
      <c r="J5" s="27" t="n">
        <v>3</v>
      </c>
      <c r="K5" s="27" t="n">
        <v>2</v>
      </c>
      <c r="L5" s="27" t="n">
        <v>0</v>
      </c>
      <c r="M5" s="23" t="n"/>
      <c r="N5" s="38" t="inlineStr">
        <is>
          <t>KAYISILI COCO</t>
        </is>
      </c>
      <c r="O5" s="573" t="n"/>
      <c r="P5" s="574" t="n"/>
      <c r="Q5" s="38" t="n">
        <v>0.5</v>
      </c>
      <c r="R5" s="574" t="n"/>
      <c r="S5" s="23" t="n"/>
      <c r="T5" s="475" t="inlineStr">
        <is>
          <t>TİRAMİSU DİLİM</t>
        </is>
      </c>
      <c r="U5" s="31" t="n">
        <v>0</v>
      </c>
      <c r="V5" s="498" t="n"/>
      <c r="W5" s="635" t="inlineStr">
        <is>
          <t>DEREOTLU PEYNİRLİ</t>
        </is>
      </c>
      <c r="X5" s="573" t="n"/>
      <c r="Y5" s="629" t="n"/>
      <c r="Z5" s="636" t="n">
        <v>1</v>
      </c>
      <c r="AA5" s="629" t="n"/>
    </row>
    <row r="6" ht="16" customHeight="1" thickBot="1">
      <c r="B6" s="542" t="inlineStr">
        <is>
          <t>KARPATKA</t>
        </is>
      </c>
      <c r="C6" s="637" t="n">
        <v>0</v>
      </c>
      <c r="D6" s="573" t="n"/>
      <c r="E6" s="629" t="n"/>
      <c r="F6" s="498" t="n"/>
      <c r="G6" s="640" t="inlineStr">
        <is>
          <t>*KROKANLI ÇİKOLATA</t>
        </is>
      </c>
      <c r="H6" s="641" t="n"/>
      <c r="I6" s="27" t="n">
        <v>2</v>
      </c>
      <c r="J6" s="27" t="n">
        <v>2</v>
      </c>
      <c r="K6" s="27" t="n">
        <v>0</v>
      </c>
      <c r="L6" s="27" t="n">
        <v>0</v>
      </c>
      <c r="M6" s="23" t="n"/>
      <c r="N6" s="38" t="inlineStr">
        <is>
          <t>COCO HİNDİSTAN CEVİZLİ</t>
        </is>
      </c>
      <c r="O6" s="573" t="n"/>
      <c r="P6" s="574" t="n"/>
      <c r="Q6" s="38" t="n">
        <v>1</v>
      </c>
      <c r="R6" s="574" t="n"/>
      <c r="S6" s="23" t="n"/>
      <c r="T6" s="541" t="inlineStr">
        <is>
          <t>MAGNOLİA ÇİLEK</t>
        </is>
      </c>
      <c r="U6" s="33" t="n">
        <v>5</v>
      </c>
      <c r="V6" s="498" t="n"/>
      <c r="W6" s="635" t="inlineStr">
        <is>
          <t>ZEYTİNLİ</t>
        </is>
      </c>
      <c r="X6" s="573" t="n"/>
      <c r="Y6" s="629" t="n"/>
      <c r="Z6" s="636" t="n">
        <v>1</v>
      </c>
      <c r="AA6" s="629" t="n"/>
    </row>
    <row r="7" ht="16" customHeight="1" thickBot="1">
      <c r="B7" s="542" t="inlineStr">
        <is>
          <t>BALLI RUS PASTASI</t>
        </is>
      </c>
      <c r="C7" s="637" t="n">
        <v>4</v>
      </c>
      <c r="D7" s="573" t="n"/>
      <c r="E7" s="629" t="n"/>
      <c r="F7" s="498" t="n"/>
      <c r="G7" s="496" t="inlineStr">
        <is>
          <t>GANAJ</t>
        </is>
      </c>
      <c r="H7" s="497" t="n"/>
      <c r="I7" s="27" t="n">
        <v>2</v>
      </c>
      <c r="J7" s="27" t="n">
        <v>1</v>
      </c>
      <c r="K7" s="27" t="n">
        <v>0</v>
      </c>
      <c r="L7" s="27" t="n">
        <v>0</v>
      </c>
      <c r="M7" s="23" t="n"/>
      <c r="N7" s="38" t="inlineStr">
        <is>
          <t>SUFLE SADE</t>
        </is>
      </c>
      <c r="O7" s="573" t="n"/>
      <c r="P7" s="574" t="n"/>
      <c r="Q7" s="38" t="n">
        <v>2.5</v>
      </c>
      <c r="R7" s="574" t="n"/>
      <c r="S7" s="23" t="n"/>
      <c r="T7" s="541" t="inlineStr">
        <is>
          <t>MAGNOLİA MUZLU</t>
        </is>
      </c>
      <c r="U7" s="33" t="n">
        <v>4</v>
      </c>
      <c r="V7" s="498" t="n"/>
      <c r="W7" s="635" t="inlineStr">
        <is>
          <t>PATATESLİ</t>
        </is>
      </c>
      <c r="X7" s="573" t="n"/>
      <c r="Y7" s="629" t="n"/>
      <c r="Z7" s="636" t="n">
        <v>1</v>
      </c>
      <c r="AA7" s="629" t="n"/>
    </row>
    <row r="8" ht="16" customHeight="1" thickBot="1">
      <c r="B8" s="542" t="inlineStr">
        <is>
          <t>FRAİSİER(ÇİLEKLİ BEYAZ)</t>
        </is>
      </c>
      <c r="C8" s="637" t="n">
        <v>1</v>
      </c>
      <c r="D8" s="573" t="n"/>
      <c r="E8" s="629" t="n"/>
      <c r="F8" s="498" t="n"/>
      <c r="G8" s="638" t="inlineStr">
        <is>
          <t>*FRAMBUAZ SİYAH ÇİKOLATA</t>
        </is>
      </c>
      <c r="H8" s="639" t="n"/>
      <c r="I8" s="27" t="n">
        <v>1</v>
      </c>
      <c r="J8" s="27" t="n">
        <v>1</v>
      </c>
      <c r="K8" s="27" t="n">
        <v>0</v>
      </c>
      <c r="L8" s="27" t="n">
        <v>0</v>
      </c>
      <c r="M8" s="23" t="n"/>
      <c r="N8" s="38" t="inlineStr">
        <is>
          <t>SUFLE VİŞNELİ</t>
        </is>
      </c>
      <c r="O8" s="573" t="n"/>
      <c r="P8" s="574" t="n"/>
      <c r="Q8" s="38" t="n">
        <v>2.5</v>
      </c>
      <c r="R8" s="574" t="n"/>
      <c r="S8" s="23" t="n"/>
      <c r="T8" s="541" t="inlineStr">
        <is>
          <t xml:space="preserve"> MAGNOLİA OREOLU</t>
        </is>
      </c>
      <c r="U8" s="33" t="n">
        <v>1</v>
      </c>
      <c r="V8" s="498" t="n"/>
      <c r="W8" s="70" t="n"/>
      <c r="X8" s="71" t="n"/>
      <c r="Y8" s="71" t="n"/>
      <c r="Z8" s="71" t="n"/>
      <c r="AA8" s="71" t="n"/>
    </row>
    <row r="9" ht="16" customHeight="1" thickBot="1">
      <c r="B9" s="542" t="inlineStr">
        <is>
          <t>FRAİSİER(SİYAH)</t>
        </is>
      </c>
      <c r="C9" s="637" t="n">
        <v>3</v>
      </c>
      <c r="D9" s="573" t="n"/>
      <c r="E9" s="629" t="n"/>
      <c r="F9" s="498" t="n"/>
      <c r="G9" s="642" t="inlineStr">
        <is>
          <t>*FRAMBUAZ BEYAZ ÇİKOLATA</t>
        </is>
      </c>
      <c r="H9" s="629" t="n"/>
      <c r="I9" s="27" t="n">
        <v>1</v>
      </c>
      <c r="J9" s="27" t="n">
        <v>2</v>
      </c>
      <c r="K9" s="27" t="n">
        <v>0</v>
      </c>
      <c r="L9" s="27" t="n">
        <v>1</v>
      </c>
      <c r="M9" s="23" t="n"/>
      <c r="N9" s="38" t="inlineStr">
        <is>
          <t>VİŞNELİ MEKİK BÜYÜK</t>
        </is>
      </c>
      <c r="O9" s="573" t="n"/>
      <c r="P9" s="574" t="n"/>
      <c r="Q9" s="38" t="n">
        <v>2</v>
      </c>
      <c r="R9" s="574" t="n"/>
      <c r="S9" s="23" t="n"/>
      <c r="T9" s="541" t="inlineStr">
        <is>
          <t>DUBAİ MAGNOLİA</t>
        </is>
      </c>
      <c r="U9" s="33" t="n">
        <v>2</v>
      </c>
      <c r="V9" s="498" t="n"/>
      <c r="W9" s="635" t="inlineStr">
        <is>
          <t>KORNET DEREOTLU</t>
        </is>
      </c>
      <c r="X9" s="573" t="n"/>
      <c r="Y9" s="629" t="n"/>
      <c r="Z9" s="636" t="n">
        <v>1</v>
      </c>
      <c r="AA9" s="629" t="n"/>
    </row>
    <row r="10" ht="16" customHeight="1" thickBot="1">
      <c r="B10" s="542" t="inlineStr">
        <is>
          <t>HASBAHÇE</t>
        </is>
      </c>
      <c r="C10" s="637" t="n">
        <v>4</v>
      </c>
      <c r="D10" s="573" t="n"/>
      <c r="E10" s="629" t="n"/>
      <c r="F10" s="498" t="n"/>
      <c r="G10" s="643" t="inlineStr">
        <is>
          <t>PASTA LATTE</t>
        </is>
      </c>
      <c r="H10" s="629" t="n"/>
      <c r="I10" s="27" t="n">
        <v>1</v>
      </c>
      <c r="J10" s="27" t="n">
        <v>0</v>
      </c>
      <c r="K10" s="27" t="n">
        <v>0</v>
      </c>
      <c r="L10" s="27" t="n">
        <v>0</v>
      </c>
      <c r="M10" s="23" t="n"/>
      <c r="N10" s="38" t="inlineStr">
        <is>
          <t>MİNİ  MEKİK</t>
        </is>
      </c>
      <c r="O10" s="573" t="n"/>
      <c r="P10" s="574" t="n"/>
      <c r="Q10" s="38" t="n">
        <v>2</v>
      </c>
      <c r="R10" s="574" t="n"/>
      <c r="S10" s="23" t="n"/>
      <c r="T10" s="541" t="inlineStr">
        <is>
          <t>SUPANGLE</t>
        </is>
      </c>
      <c r="U10" s="33" t="n">
        <v>2</v>
      </c>
      <c r="V10" s="498" t="n"/>
      <c r="W10" s="635" t="inlineStr">
        <is>
          <t>DEREOTLU SUFLE</t>
        </is>
      </c>
      <c r="X10" s="573" t="n"/>
      <c r="Y10" s="629" t="n"/>
      <c r="Z10" s="636" t="n">
        <v>0.5</v>
      </c>
      <c r="AA10" s="629" t="n"/>
    </row>
    <row r="11" ht="16" customHeight="1" thickBot="1">
      <c r="B11" s="542" t="inlineStr">
        <is>
          <t>VİŞNELİ</t>
        </is>
      </c>
      <c r="C11" s="637" t="n">
        <v>3</v>
      </c>
      <c r="D11" s="573" t="n"/>
      <c r="E11" s="629" t="n"/>
      <c r="F11" s="498" t="n"/>
      <c r="G11" s="642" t="inlineStr">
        <is>
          <t>*KIRMIZI MEYVALI NAKED</t>
        </is>
      </c>
      <c r="H11" s="629" t="n"/>
      <c r="I11" s="27" t="n">
        <v>4</v>
      </c>
      <c r="J11" s="27" t="n">
        <v>4</v>
      </c>
      <c r="K11" s="27" t="n">
        <v>1</v>
      </c>
      <c r="L11" s="27" t="n">
        <v>0</v>
      </c>
      <c r="M11" s="23" t="n"/>
      <c r="N11" s="38" t="inlineStr">
        <is>
          <t>MİNİ BADEMLİ MEKİK</t>
        </is>
      </c>
      <c r="O11" s="573" t="n"/>
      <c r="P11" s="574" t="n"/>
      <c r="Q11" s="38" t="n">
        <v>0</v>
      </c>
      <c r="R11" s="574" t="n"/>
      <c r="S11" s="23" t="n"/>
      <c r="T11" s="541" t="inlineStr">
        <is>
          <t>PROFİTEROL KASE</t>
        </is>
      </c>
      <c r="U11" s="33" t="n">
        <v>6</v>
      </c>
      <c r="V11" s="498" t="n"/>
      <c r="W11" s="635" t="inlineStr">
        <is>
          <t>SEBZELİ</t>
        </is>
      </c>
      <c r="X11" s="573" t="n"/>
      <c r="Y11" s="629" t="n"/>
      <c r="Z11" s="636" t="n">
        <v>0</v>
      </c>
      <c r="AA11" s="629" t="n"/>
    </row>
    <row r="12" ht="16" customHeight="1" thickBot="1">
      <c r="B12" s="542" t="inlineStr">
        <is>
          <t>PROFİTEROL PASTA</t>
        </is>
      </c>
      <c r="C12" s="637" t="n">
        <v>0</v>
      </c>
      <c r="D12" s="573" t="n"/>
      <c r="E12" s="629" t="n"/>
      <c r="F12" s="498" t="n"/>
      <c r="G12" s="643" t="inlineStr">
        <is>
          <t>HASBAHÇE</t>
        </is>
      </c>
      <c r="H12" s="629" t="n"/>
      <c r="I12" s="27" t="n">
        <v>5</v>
      </c>
      <c r="J12" s="27" t="n">
        <v>4</v>
      </c>
      <c r="K12" s="27" t="n">
        <v>2</v>
      </c>
      <c r="L12" s="27" t="n">
        <v>0</v>
      </c>
      <c r="M12" s="23" t="n"/>
      <c r="N12" s="38" t="inlineStr">
        <is>
          <t>MANTAR</t>
        </is>
      </c>
      <c r="O12" s="573" t="n"/>
      <c r="P12" s="574" t="n"/>
      <c r="Q12" s="38" t="n">
        <v>1</v>
      </c>
      <c r="R12" s="574" t="n"/>
      <c r="S12" s="23" t="n"/>
      <c r="T12" s="541" t="inlineStr">
        <is>
          <t>MOZAİK</t>
        </is>
      </c>
      <c r="U12" s="33" t="n">
        <v>0</v>
      </c>
      <c r="V12" s="498" t="n"/>
      <c r="W12" s="635" t="inlineStr">
        <is>
          <t>PATLICANLI</t>
        </is>
      </c>
      <c r="X12" s="573" t="n"/>
      <c r="Y12" s="629" t="n"/>
      <c r="Z12" s="636" t="n">
        <v>0</v>
      </c>
      <c r="AA12" s="629" t="n"/>
    </row>
    <row r="13" ht="16" customHeight="1" thickBot="1">
      <c r="B13" s="542" t="inlineStr">
        <is>
          <t>GANAJ</t>
        </is>
      </c>
      <c r="C13" s="637" t="n">
        <v>5</v>
      </c>
      <c r="D13" s="573" t="n"/>
      <c r="E13" s="629" t="n"/>
      <c r="F13" s="498" t="n"/>
      <c r="G13" s="642" t="inlineStr">
        <is>
          <t>*KESTANELİ FISTIK</t>
        </is>
      </c>
      <c r="H13" s="629" t="n"/>
      <c r="I13" s="27" t="n">
        <v>0</v>
      </c>
      <c r="J13" s="27" t="n">
        <v>0</v>
      </c>
      <c r="K13" s="27" t="n">
        <v>0</v>
      </c>
      <c r="L13" s="27" t="n">
        <v>0</v>
      </c>
      <c r="M13" s="23" t="n"/>
      <c r="N13" s="38" t="inlineStr">
        <is>
          <t>TARÇINLI PORTAKAL</t>
        </is>
      </c>
      <c r="O13" s="573" t="n"/>
      <c r="P13" s="574" t="n"/>
      <c r="Q13" s="38" t="n">
        <v>1</v>
      </c>
      <c r="R13" s="574" t="n"/>
      <c r="S13" s="23" t="n"/>
      <c r="T13" s="541" t="inlineStr">
        <is>
          <t>VİSNELİ TEK</t>
        </is>
      </c>
      <c r="U13" s="33" t="n">
        <v>0</v>
      </c>
      <c r="V13" s="498" t="n"/>
      <c r="W13" s="635" t="inlineStr">
        <is>
          <t>MİNİ PİZZA</t>
        </is>
      </c>
      <c r="X13" s="573" t="n"/>
      <c r="Y13" s="629" t="n"/>
      <c r="Z13" s="636" t="n">
        <v>4</v>
      </c>
      <c r="AA13" s="629" t="n"/>
    </row>
    <row r="14" ht="16" customHeight="1" thickBot="1">
      <c r="B14" s="542" t="inlineStr">
        <is>
          <t>FRAMBUAZ SİYAH</t>
        </is>
      </c>
      <c r="C14" s="637" t="n">
        <v>7</v>
      </c>
      <c r="D14" s="573" t="n"/>
      <c r="E14" s="629" t="n"/>
      <c r="F14" s="498" t="n"/>
      <c r="G14" s="643" t="inlineStr">
        <is>
          <t>MUZLU BEYAZ ÇİKOLATALI</t>
        </is>
      </c>
      <c r="H14" s="629" t="n"/>
      <c r="I14" s="27" t="n">
        <v>2</v>
      </c>
      <c r="J14" s="27" t="n">
        <v>1</v>
      </c>
      <c r="K14" s="27" t="n">
        <v>0</v>
      </c>
      <c r="L14" s="27" t="n">
        <v>0</v>
      </c>
      <c r="M14" s="23" t="n"/>
      <c r="N14" s="644" t="inlineStr">
        <is>
          <t>KESTANELİ MARİNGEDEZE</t>
        </is>
      </c>
      <c r="O14" s="573" t="n"/>
      <c r="P14" s="629" t="n"/>
      <c r="Q14" s="645" t="n">
        <v>0</v>
      </c>
      <c r="R14" s="574" t="n"/>
      <c r="S14" s="23" t="n"/>
      <c r="T14" s="541" t="inlineStr">
        <is>
          <t>HASBAHÇE TEK</t>
        </is>
      </c>
      <c r="U14" s="33" t="n">
        <v>0</v>
      </c>
      <c r="V14" s="498" t="n"/>
      <c r="W14" s="635" t="inlineStr">
        <is>
          <t>MİNİK SİMİT</t>
        </is>
      </c>
      <c r="X14" s="573" t="n"/>
      <c r="Y14" s="629" t="n"/>
      <c r="Z14" s="636" t="n">
        <v>1</v>
      </c>
      <c r="AA14" s="629" t="n"/>
    </row>
    <row r="15" ht="16" customHeight="1" thickBot="1">
      <c r="B15" s="542" t="inlineStr">
        <is>
          <t>FRAMBUAZ BEYAZ</t>
        </is>
      </c>
      <c r="C15" s="637" t="n">
        <v>4</v>
      </c>
      <c r="D15" s="573" t="n"/>
      <c r="E15" s="629" t="n"/>
      <c r="F15" s="498" t="n"/>
      <c r="G15" s="643" t="inlineStr">
        <is>
          <t>MUZLU SİYAH ÇİKOLATALI</t>
        </is>
      </c>
      <c r="H15" s="629" t="n"/>
      <c r="I15" s="27" t="n">
        <v>0</v>
      </c>
      <c r="J15" s="27" t="n">
        <v>0</v>
      </c>
      <c r="K15" s="27" t="n">
        <v>0</v>
      </c>
      <c r="L15" s="27" t="n">
        <v>0</v>
      </c>
      <c r="M15" s="23" t="n"/>
      <c r="N15" s="38" t="inlineStr">
        <is>
          <t>SABLE BADEMLİ (SADE)</t>
        </is>
      </c>
      <c r="O15" s="573" t="n"/>
      <c r="P15" s="574" t="n"/>
      <c r="Q15" s="38" t="n">
        <v>0.5</v>
      </c>
      <c r="R15" s="574" t="n"/>
      <c r="S15" s="23" t="n"/>
      <c r="T15" s="541" t="inlineStr">
        <is>
          <t>FISTIKLI ÇİKOLATALI</t>
        </is>
      </c>
      <c r="U15" s="33" t="n">
        <v>0</v>
      </c>
      <c r="V15" s="498" t="n"/>
      <c r="W15" s="635" t="inlineStr">
        <is>
          <t>DÜZ ÖRGÜ</t>
        </is>
      </c>
      <c r="X15" s="573" t="n"/>
      <c r="Y15" s="629" t="n"/>
      <c r="Z15" s="636" t="n">
        <v>1</v>
      </c>
      <c r="AA15" s="629" t="n"/>
    </row>
    <row r="16" ht="16" customHeight="1" thickBot="1">
      <c r="B16" s="542" t="inlineStr">
        <is>
          <t>KARAMEL BANANA</t>
        </is>
      </c>
      <c r="C16" s="637" t="n">
        <v>1</v>
      </c>
      <c r="D16" s="573" t="n"/>
      <c r="E16" s="629" t="n"/>
      <c r="F16" s="498" t="n"/>
      <c r="G16" s="643" t="inlineStr">
        <is>
          <t>PROFİTEROL SİYAH ÇİKOLATALI</t>
        </is>
      </c>
      <c r="H16" s="629" t="n"/>
      <c r="I16" s="27" t="n">
        <v>3</v>
      </c>
      <c r="J16" s="27" t="n">
        <v>3</v>
      </c>
      <c r="K16" s="27" t="n">
        <v>0</v>
      </c>
      <c r="L16" s="27" t="n">
        <v>0</v>
      </c>
      <c r="M16" s="23" t="n"/>
      <c r="N16" s="38" t="inlineStr">
        <is>
          <t>SABLE BADEMLİ(KAKAOLU)</t>
        </is>
      </c>
      <c r="O16" s="573" t="n"/>
      <c r="P16" s="574" t="n"/>
      <c r="Q16" s="38" t="n">
        <v>0</v>
      </c>
      <c r="R16" s="574" t="n"/>
      <c r="S16" s="23" t="n"/>
      <c r="T16" s="541" t="inlineStr">
        <is>
          <t>KESTANELİ TEK</t>
        </is>
      </c>
      <c r="U16" s="33" t="n">
        <v>0</v>
      </c>
      <c r="V16" s="498" t="n"/>
      <c r="W16" s="635" t="inlineStr">
        <is>
          <t>YUVARLAK ÖRGÜ</t>
        </is>
      </c>
      <c r="X16" s="573" t="n"/>
      <c r="Y16" s="629" t="n"/>
      <c r="Z16" s="636" t="n">
        <v>1</v>
      </c>
      <c r="AA16" s="629" t="n"/>
    </row>
    <row r="17" ht="16" customHeight="1" thickBot="1">
      <c r="B17" s="542" t="inlineStr">
        <is>
          <t>KESTANELİ PASTA</t>
        </is>
      </c>
      <c r="C17" s="637" t="n">
        <v>0</v>
      </c>
      <c r="D17" s="573" t="n"/>
      <c r="E17" s="629" t="n"/>
      <c r="F17" s="498" t="n"/>
      <c r="G17" s="643" t="inlineStr">
        <is>
          <t>MUZ KROKAN</t>
        </is>
      </c>
      <c r="H17" s="629" t="n"/>
      <c r="I17" s="27" t="n">
        <v>0</v>
      </c>
      <c r="J17" s="27" t="n">
        <v>0</v>
      </c>
      <c r="K17" s="27" t="n">
        <v>0</v>
      </c>
      <c r="L17" s="27" t="n">
        <v>0</v>
      </c>
      <c r="M17" s="23" t="n"/>
      <c r="N17" s="38" t="inlineStr">
        <is>
          <t>KAVALA KURABİYESİ</t>
        </is>
      </c>
      <c r="O17" s="573" t="n"/>
      <c r="P17" s="574" t="n"/>
      <c r="Q17" s="38" t="n">
        <v>1.5</v>
      </c>
      <c r="R17" s="574" t="n"/>
      <c r="S17" s="23" t="n"/>
      <c r="T17" s="541" t="inlineStr">
        <is>
          <t>PROFİTEROL TEK</t>
        </is>
      </c>
      <c r="U17" s="33" t="n">
        <v>0</v>
      </c>
      <c r="V17" s="498" t="n"/>
      <c r="W17" s="635" t="inlineStr">
        <is>
          <t>BURGU SUSAMLI HAŞHAŞLI</t>
        </is>
      </c>
      <c r="X17" s="573" t="n"/>
      <c r="Y17" s="629" t="n"/>
      <c r="Z17" s="636" t="n">
        <v>1</v>
      </c>
      <c r="AA17" s="629" t="n"/>
    </row>
    <row r="18" ht="16" customHeight="1" thickBot="1">
      <c r="B18" s="542" t="inlineStr">
        <is>
          <t>FISTIKLI PASTA</t>
        </is>
      </c>
      <c r="C18" s="637" t="n">
        <v>3</v>
      </c>
      <c r="D18" s="573" t="n"/>
      <c r="E18" s="629" t="n"/>
      <c r="F18" s="498" t="n"/>
      <c r="G18" s="643" t="inlineStr">
        <is>
          <t>ÇİLEKLİ SİYAH ÇİKOLATALI</t>
        </is>
      </c>
      <c r="H18" s="629" t="n"/>
      <c r="I18" s="27" t="n">
        <v>3</v>
      </c>
      <c r="J18" s="27" t="n">
        <v>3</v>
      </c>
      <c r="K18" s="27" t="n">
        <v>2</v>
      </c>
      <c r="L18" s="27" t="n">
        <v>0</v>
      </c>
      <c r="M18" s="23" t="n"/>
      <c r="N18" s="38" t="inlineStr">
        <is>
          <t>KUKUNARİ SİYAH</t>
        </is>
      </c>
      <c r="O18" s="573" t="n"/>
      <c r="P18" s="574" t="n"/>
      <c r="Q18" s="38" t="n">
        <v>2.5</v>
      </c>
      <c r="R18" s="574" t="n"/>
      <c r="S18" s="23" t="n"/>
      <c r="T18" s="541" t="inlineStr">
        <is>
          <t>GANAJ TEK</t>
        </is>
      </c>
      <c r="U18" s="33" t="n">
        <v>0</v>
      </c>
      <c r="V18" s="498" t="n"/>
      <c r="W18" s="646" t="inlineStr">
        <is>
          <t>DİYET  KURABİYELER</t>
        </is>
      </c>
      <c r="X18" s="573" t="n"/>
      <c r="Y18" s="629" t="n"/>
      <c r="Z18" s="647" t="n">
        <v>0</v>
      </c>
      <c r="AA18" s="629" t="n"/>
    </row>
    <row r="19" ht="16" customHeight="1" thickBot="1">
      <c r="B19" s="542" t="inlineStr">
        <is>
          <t>PORTAKAL KÜP</t>
        </is>
      </c>
      <c r="C19" s="637" t="n">
        <v>0</v>
      </c>
      <c r="D19" s="573" t="n"/>
      <c r="E19" s="629" t="n"/>
      <c r="F19" s="498" t="n"/>
      <c r="G19" s="643" t="inlineStr">
        <is>
          <t>ÇİLEKLİ BEYAZ ÇİKOLATALI</t>
        </is>
      </c>
      <c r="H19" s="629" t="n"/>
      <c r="I19" s="27" t="n">
        <v>4</v>
      </c>
      <c r="J19" s="27" t="n">
        <v>3</v>
      </c>
      <c r="K19" s="27" t="n">
        <v>0</v>
      </c>
      <c r="L19" s="27" t="n">
        <v>0</v>
      </c>
      <c r="M19" s="23" t="n"/>
      <c r="N19" s="38" t="inlineStr">
        <is>
          <t>KUKİNARİ BEYAZ</t>
        </is>
      </c>
      <c r="O19" s="573" t="n"/>
      <c r="P19" s="574" t="n"/>
      <c r="Q19" s="38" t="n">
        <v>1.5</v>
      </c>
      <c r="R19" s="574" t="n"/>
      <c r="S19" s="23" t="n"/>
      <c r="T19" s="541" t="inlineStr">
        <is>
          <t>FRAMBUAZ SİYAH TEK</t>
        </is>
      </c>
      <c r="U19" s="33" t="n">
        <v>0</v>
      </c>
      <c r="V19" s="498" t="n"/>
      <c r="W19" s="635" t="inlineStr">
        <is>
          <t>BURGU TAHILLI</t>
        </is>
      </c>
      <c r="X19" s="573" t="n"/>
      <c r="Y19" s="629" t="n"/>
      <c r="Z19" s="636" t="n">
        <v>1</v>
      </c>
      <c r="AA19" s="629" t="n"/>
    </row>
    <row r="20" ht="16" customHeight="1" thickBot="1">
      <c r="B20" s="542" t="inlineStr">
        <is>
          <t>SNİCKERS</t>
        </is>
      </c>
      <c r="C20" s="637" t="n">
        <v>0</v>
      </c>
      <c r="D20" s="573" t="n"/>
      <c r="E20" s="629" t="n"/>
      <c r="F20" s="498" t="n"/>
      <c r="G20" s="642" t="inlineStr">
        <is>
          <t>*VİŞNE SİYAH ÇİKOLATALI</t>
        </is>
      </c>
      <c r="H20" s="629" t="n"/>
      <c r="I20" s="27" t="n">
        <v>1</v>
      </c>
      <c r="J20" s="27" t="n">
        <v>0</v>
      </c>
      <c r="K20" s="27" t="n">
        <v>0</v>
      </c>
      <c r="L20" s="27" t="n">
        <v>0</v>
      </c>
      <c r="M20" s="23" t="n"/>
      <c r="N20" s="38" t="inlineStr">
        <is>
          <t>HİNDİSTAN CEVİZLİ TOP</t>
        </is>
      </c>
      <c r="O20" s="573" t="n"/>
      <c r="P20" s="574" t="n"/>
      <c r="Q20" s="38" t="n">
        <v>1</v>
      </c>
      <c r="R20" s="574" t="n"/>
      <c r="S20" s="23" t="n"/>
      <c r="T20" s="541" t="inlineStr">
        <is>
          <t>FRAMBUAZ BEYAZ TEK</t>
        </is>
      </c>
      <c r="U20" s="33" t="n">
        <v>0</v>
      </c>
      <c r="V20" s="498" t="n"/>
      <c r="W20" s="635" t="inlineStr">
        <is>
          <t>AYÇEKİRDEKLİ  GALETA</t>
        </is>
      </c>
      <c r="X20" s="573" t="n"/>
      <c r="Y20" s="629" t="n"/>
      <c r="Z20" s="636" t="n">
        <v>2</v>
      </c>
      <c r="AA20" s="629" t="n"/>
    </row>
    <row r="21" ht="16" customHeight="1" thickBot="1">
      <c r="B21" s="542" t="inlineStr">
        <is>
          <t>LİMONLU YAZ PASTASI</t>
        </is>
      </c>
      <c r="C21" s="637" t="n">
        <v>0</v>
      </c>
      <c r="D21" s="573" t="n"/>
      <c r="E21" s="629" t="n"/>
      <c r="F21" s="498" t="n"/>
      <c r="G21" s="642" t="inlineStr">
        <is>
          <t>*FRAMBUAZ MUZ NAKED</t>
        </is>
      </c>
      <c r="H21" s="629" t="n"/>
      <c r="I21" s="27" t="n">
        <v>1</v>
      </c>
      <c r="J21" s="27" t="n">
        <v>0</v>
      </c>
      <c r="K21" s="27" t="n">
        <v>0</v>
      </c>
      <c r="L21" s="27" t="n">
        <v>0</v>
      </c>
      <c r="M21" s="23" t="n"/>
      <c r="N21" s="38" t="inlineStr">
        <is>
          <t>FISTIKLI TOP</t>
        </is>
      </c>
      <c r="O21" s="573" t="n"/>
      <c r="P21" s="574" t="n"/>
      <c r="Q21" s="38" t="n">
        <v>0.5</v>
      </c>
      <c r="R21" s="574" t="n"/>
      <c r="S21" s="23" t="n"/>
      <c r="T21" s="541" t="inlineStr">
        <is>
          <t xml:space="preserve">LATTE </t>
        </is>
      </c>
      <c r="U21" s="33" t="n">
        <v>0</v>
      </c>
      <c r="V21" s="498" t="n"/>
      <c r="W21" s="635" t="inlineStr">
        <is>
          <t>PARMESAN GALETA</t>
        </is>
      </c>
      <c r="X21" s="573" t="n"/>
      <c r="Y21" s="629" t="n"/>
      <c r="Z21" s="636" t="n">
        <v>1</v>
      </c>
      <c r="AA21" s="629" t="n"/>
    </row>
    <row r="22" ht="16" customHeight="1" thickBot="1">
      <c r="B22" s="542" t="inlineStr">
        <is>
          <t>MANGOLU PASTA</t>
        </is>
      </c>
      <c r="C22" s="637" t="n">
        <v>2</v>
      </c>
      <c r="D22" s="573" t="n"/>
      <c r="E22" s="629" t="n"/>
      <c r="F22" s="498" t="n"/>
      <c r="G22" s="643" t="inlineStr">
        <is>
          <t xml:space="preserve">FRAMBUAZ ÇİLEK BEYAZ </t>
        </is>
      </c>
      <c r="H22" s="629" t="n"/>
      <c r="I22" s="27" t="n">
        <v>2</v>
      </c>
      <c r="J22" s="27" t="n">
        <v>2</v>
      </c>
      <c r="K22" s="27" t="n">
        <v>0</v>
      </c>
      <c r="L22" s="27" t="n">
        <v>0</v>
      </c>
      <c r="M22" s="23" t="n"/>
      <c r="N22" s="38" t="inlineStr">
        <is>
          <t>PİRİNÇ FINDIKLI TOP</t>
        </is>
      </c>
      <c r="O22" s="573" t="n"/>
      <c r="P22" s="574" t="n"/>
      <c r="Q22" s="38" t="n">
        <v>1</v>
      </c>
      <c r="R22" s="574" t="n"/>
      <c r="S22" s="23" t="n"/>
      <c r="T22" s="541" t="inlineStr">
        <is>
          <t>KAZANDİBİ</t>
        </is>
      </c>
      <c r="U22" s="33" t="n">
        <v>9</v>
      </c>
      <c r="V22" s="498" t="n"/>
      <c r="W22" s="635" t="inlineStr">
        <is>
          <t>İTALYAN GALETA</t>
        </is>
      </c>
      <c r="X22" s="573" t="n"/>
      <c r="Y22" s="629" t="n"/>
      <c r="Z22" s="636" t="n">
        <v>1</v>
      </c>
      <c r="AA22" s="629" t="n"/>
    </row>
    <row r="23" ht="16" customHeight="1" thickBot="1">
      <c r="B23" s="542" t="inlineStr">
        <is>
          <t>GLUTENSİZ ÇİKOLATALI PASTA</t>
        </is>
      </c>
      <c r="C23" s="637" t="n">
        <v>1</v>
      </c>
      <c r="D23" s="573" t="n"/>
      <c r="E23" s="629" t="n"/>
      <c r="F23" s="498" t="n"/>
      <c r="G23" s="643" t="inlineStr">
        <is>
          <t>MUZ ÇİLEK NAKED</t>
        </is>
      </c>
      <c r="H23" s="629" t="n"/>
      <c r="I23" s="27" t="n">
        <v>4</v>
      </c>
      <c r="J23" s="27" t="n">
        <v>4</v>
      </c>
      <c r="K23" s="27" t="n">
        <v>1</v>
      </c>
      <c r="L23" s="27" t="n">
        <v>0</v>
      </c>
      <c r="M23" s="23" t="n"/>
      <c r="N23" s="38" t="inlineStr">
        <is>
          <t>BİREÇEL BEYAZ</t>
        </is>
      </c>
      <c r="O23" s="573" t="n"/>
      <c r="P23" s="574" t="n"/>
      <c r="Q23" s="38" t="n">
        <v>1</v>
      </c>
      <c r="R23" s="574" t="n"/>
      <c r="S23" s="23" t="n"/>
      <c r="T23" s="541" t="inlineStr">
        <is>
          <t>SÜTLAÇ</t>
        </is>
      </c>
      <c r="U23" s="33" t="n">
        <v>3</v>
      </c>
      <c r="V23" s="498" t="n"/>
      <c r="W23" s="635" t="inlineStr">
        <is>
          <t>BİBERİYELİ ZEYTİNLİ GALETA</t>
        </is>
      </c>
      <c r="X23" s="573" t="n"/>
      <c r="Y23" s="629" t="n"/>
      <c r="Z23" s="636" t="n">
        <v>0</v>
      </c>
      <c r="AA23" s="629" t="n"/>
    </row>
    <row r="24" ht="16" customHeight="1" thickBot="1">
      <c r="B24" s="542" t="inlineStr">
        <is>
          <t>GLUTENSİZ ELMALI PASTA</t>
        </is>
      </c>
      <c r="C24" s="637" t="n">
        <v>0</v>
      </c>
      <c r="D24" s="573" t="n"/>
      <c r="E24" s="629" t="n"/>
      <c r="F24" s="498" t="n"/>
      <c r="G24" s="643" t="inlineStr">
        <is>
          <t>MOİS PASTA</t>
        </is>
      </c>
      <c r="H24" s="629" t="n"/>
      <c r="I24" s="27" t="n">
        <v>2</v>
      </c>
      <c r="J24" s="27" t="n">
        <v>2</v>
      </c>
      <c r="K24" s="27" t="n">
        <v>0</v>
      </c>
      <c r="L24" s="27" t="n">
        <v>0</v>
      </c>
      <c r="M24" s="23" t="n"/>
      <c r="N24" s="38" t="inlineStr">
        <is>
          <t>BİREÇEL SİYAH</t>
        </is>
      </c>
      <c r="O24" s="573" t="n"/>
      <c r="P24" s="574" t="n"/>
      <c r="Q24" s="38" t="n">
        <v>1.5</v>
      </c>
      <c r="R24" s="574" t="n"/>
      <c r="S24" s="23" t="n"/>
      <c r="T24" s="541" t="inlineStr">
        <is>
          <t>TRİLEÇE FRAMBUAZ</t>
        </is>
      </c>
      <c r="U24" s="33" t="n">
        <v>0</v>
      </c>
      <c r="V24" s="498" t="n"/>
      <c r="W24" s="635" t="inlineStr">
        <is>
          <t>ÇEKİRDEKLİ KOKTEYL</t>
        </is>
      </c>
      <c r="X24" s="573" t="n"/>
      <c r="Y24" s="629" t="n"/>
      <c r="Z24" s="636" t="n">
        <v>3</v>
      </c>
      <c r="AA24" s="629" t="n"/>
    </row>
    <row r="25" ht="16" customHeight="1" thickBot="1">
      <c r="B25" s="542" t="inlineStr">
        <is>
          <t>PANNA COTTA ŞEFTALİ</t>
        </is>
      </c>
      <c r="C25" s="637" t="n">
        <v>1</v>
      </c>
      <c r="D25" s="573" t="n"/>
      <c r="E25" s="629" t="n"/>
      <c r="F25" s="498" t="n"/>
      <c r="G25" s="648" t="inlineStr">
        <is>
          <t>HASBAHÇE SİYAH</t>
        </is>
      </c>
      <c r="H25" s="641" t="n"/>
      <c r="I25" s="27" t="n">
        <v>2</v>
      </c>
      <c r="J25" s="27" t="n">
        <v>1</v>
      </c>
      <c r="K25" s="27" t="n">
        <v>0</v>
      </c>
      <c r="L25" s="27" t="n">
        <v>0</v>
      </c>
      <c r="M25" s="23" t="n"/>
      <c r="N25" s="38" t="inlineStr">
        <is>
          <t>FINDIKLI BİSCOTTİ</t>
        </is>
      </c>
      <c r="O25" s="573" t="n"/>
      <c r="P25" s="574" t="n"/>
      <c r="Q25" s="38" t="n">
        <v>0</v>
      </c>
      <c r="R25" s="574" t="n"/>
      <c r="S25" s="23" t="n"/>
      <c r="T25" s="541" t="inlineStr">
        <is>
          <t>TRİLEÇE KARAMEL</t>
        </is>
      </c>
      <c r="U25" s="33" t="n">
        <v>8</v>
      </c>
      <c r="V25" s="498" t="n"/>
      <c r="W25" s="635" t="inlineStr">
        <is>
          <t>ÜZÜMLÜ KEPEKLİ</t>
        </is>
      </c>
      <c r="X25" s="573" t="n"/>
      <c r="Y25" s="629" t="n"/>
      <c r="Z25" s="636" t="n">
        <v>0</v>
      </c>
      <c r="AA25" s="629" t="n"/>
    </row>
    <row r="26" ht="16" customHeight="1" thickBot="1">
      <c r="B26" s="36" t="inlineStr">
        <is>
          <t>PANNA COTTA FRAMBUAZ</t>
        </is>
      </c>
      <c r="C26" s="637" t="n">
        <v>1</v>
      </c>
      <c r="D26" s="573" t="n"/>
      <c r="E26" s="629" t="n"/>
      <c r="F26" s="498" t="n"/>
      <c r="G26" s="649" t="inlineStr">
        <is>
          <t>VİŞNE SİYAH</t>
        </is>
      </c>
      <c r="H26" s="626" t="n"/>
      <c r="I26" s="27" t="n">
        <v>0</v>
      </c>
      <c r="J26" s="27" t="n">
        <v>0</v>
      </c>
      <c r="K26" s="27" t="n">
        <v>0</v>
      </c>
      <c r="L26" s="27" t="n">
        <v>0</v>
      </c>
      <c r="M26" s="23" t="n"/>
      <c r="N26" s="37" t="n"/>
      <c r="O26" s="37" t="n"/>
      <c r="P26" s="37" t="n"/>
      <c r="Q26" s="37" t="n"/>
      <c r="R26" s="37" t="n"/>
      <c r="S26" s="23" t="n"/>
      <c r="T26" s="541" t="inlineStr">
        <is>
          <t>AŞURE</t>
        </is>
      </c>
      <c r="U26" s="33" t="n">
        <v>0</v>
      </c>
      <c r="V26" s="498" t="n"/>
      <c r="W26" s="635" t="inlineStr">
        <is>
          <t>ÜZÜMLÜ CEVİZLİ KEPEKLİ</t>
        </is>
      </c>
      <c r="X26" s="573" t="n"/>
      <c r="Y26" s="629" t="n"/>
      <c r="Z26" s="636" t="n">
        <v>2</v>
      </c>
      <c r="AA26" s="629" t="n"/>
    </row>
    <row r="27" ht="16" customHeight="1" thickBot="1">
      <c r="B27" s="38" t="inlineStr">
        <is>
          <t>PORTAKALLI FİT KEK</t>
        </is>
      </c>
      <c r="C27" s="637" t="n">
        <v>0</v>
      </c>
      <c r="D27" s="573" t="n"/>
      <c r="E27" s="629" t="n"/>
      <c r="F27" s="498" t="n"/>
      <c r="G27" s="638" t="inlineStr">
        <is>
          <t>*VİŞNE BEYAZ</t>
        </is>
      </c>
      <c r="H27" s="639" t="n"/>
      <c r="I27" s="27" t="n">
        <v>0</v>
      </c>
      <c r="J27" s="27" t="n">
        <v>0</v>
      </c>
      <c r="K27" s="27" t="n">
        <v>0</v>
      </c>
      <c r="L27" s="27" t="n">
        <v>0</v>
      </c>
      <c r="M27" s="23" t="n"/>
      <c r="N27" s="38" t="inlineStr">
        <is>
          <t>KAHVELİ BAR</t>
        </is>
      </c>
      <c r="O27" s="573" t="n"/>
      <c r="P27" s="574" t="n"/>
      <c r="Q27" s="38" t="n">
        <v>0.25</v>
      </c>
      <c r="R27" s="574" t="n"/>
      <c r="S27" s="23" t="n"/>
      <c r="T27" s="39" t="inlineStr">
        <is>
          <t>MİNİ EKLER</t>
        </is>
      </c>
      <c r="U27" s="40" t="n"/>
      <c r="V27" s="498" t="n"/>
      <c r="W27" s="635" t="inlineStr">
        <is>
          <t>KURU ÜZÜMLÜ YASSI TAHILLI</t>
        </is>
      </c>
      <c r="X27" s="573" t="n"/>
      <c r="Y27" s="629" t="n"/>
      <c r="Z27" s="636" t="n">
        <v>2</v>
      </c>
      <c r="AA27" s="629" t="n"/>
    </row>
    <row r="28" ht="16" customHeight="1" thickBot="1">
      <c r="B28" s="41" t="inlineStr">
        <is>
          <t>YABAN MERSİNLİ</t>
        </is>
      </c>
      <c r="C28" s="637" t="n">
        <v>0</v>
      </c>
      <c r="D28" s="573" t="n"/>
      <c r="E28" s="629" t="n"/>
      <c r="F28" s="498" t="n"/>
      <c r="G28" s="42" t="inlineStr">
        <is>
          <t>BADEM KROKAN</t>
        </is>
      </c>
      <c r="H28" s="43" t="n"/>
      <c r="I28" s="27" t="n">
        <v>0</v>
      </c>
      <c r="J28" s="27" t="n">
        <v>0</v>
      </c>
      <c r="K28" s="27" t="n">
        <v>0</v>
      </c>
      <c r="L28" s="27" t="n">
        <v>0</v>
      </c>
      <c r="M28" s="23" t="n"/>
      <c r="N28" s="38" t="inlineStr">
        <is>
          <t>LİMONLU BAR</t>
        </is>
      </c>
      <c r="O28" s="573" t="n"/>
      <c r="P28" s="574" t="n"/>
      <c r="Q28" s="38" t="n">
        <v>0.25</v>
      </c>
      <c r="R28" s="574" t="n"/>
      <c r="S28" s="23" t="n"/>
      <c r="T28" s="44" t="inlineStr">
        <is>
          <t>ÇİKOLATALI EKLER</t>
        </is>
      </c>
      <c r="U28" s="542" t="n">
        <v>2.5</v>
      </c>
      <c r="V28" s="498" t="n"/>
      <c r="W28" s="635" t="inlineStr">
        <is>
          <t>GRANOLA BAR TEPSİ</t>
        </is>
      </c>
      <c r="X28" s="573" t="n"/>
      <c r="Y28" s="629" t="n"/>
      <c r="Z28" s="636" t="n">
        <v>0</v>
      </c>
      <c r="AA28" s="629" t="n"/>
    </row>
    <row r="29" ht="16" customHeight="1" thickBot="1">
      <c r="B29" s="36" t="inlineStr">
        <is>
          <t>ÇİLEKLİ TART</t>
        </is>
      </c>
      <c r="C29" s="637" t="n">
        <v>0</v>
      </c>
      <c r="D29" s="573" t="n"/>
      <c r="E29" s="629" t="n"/>
      <c r="F29" s="498" t="n"/>
      <c r="G29" s="45" t="n"/>
      <c r="H29" s="46" t="n"/>
      <c r="I29" s="47" t="n"/>
      <c r="J29" s="47" t="n"/>
      <c r="K29" s="47" t="n"/>
      <c r="L29" s="48" t="n"/>
      <c r="M29" s="23" t="n"/>
      <c r="N29" s="38" t="inlineStr">
        <is>
          <t>VİŞNELİ BAR</t>
        </is>
      </c>
      <c r="O29" s="573" t="n"/>
      <c r="P29" s="574" t="n"/>
      <c r="Q29" s="38" t="n">
        <v>0.25</v>
      </c>
      <c r="R29" s="574" t="n"/>
      <c r="S29" s="23" t="n"/>
      <c r="T29" s="44" t="inlineStr">
        <is>
          <t>LİMONLU EKLER</t>
        </is>
      </c>
      <c r="U29" s="542" t="n">
        <v>1</v>
      </c>
      <c r="V29" s="498" t="n"/>
      <c r="W29" s="635" t="inlineStr">
        <is>
          <t>TAHİNLİ SUSAMLI</t>
        </is>
      </c>
      <c r="X29" s="573" t="n"/>
      <c r="Y29" s="629" t="n"/>
      <c r="Z29" s="636" t="n">
        <v>0</v>
      </c>
      <c r="AA29" s="629" t="n"/>
    </row>
    <row r="30" ht="16" customHeight="1" thickBot="1">
      <c r="B30" s="49" t="inlineStr">
        <is>
          <t>FRANSIZ EKLER</t>
        </is>
      </c>
      <c r="C30" s="650" t="n"/>
      <c r="D30" s="573" t="n"/>
      <c r="E30" s="629" t="n"/>
      <c r="F30" s="498" t="n"/>
      <c r="G30" s="50" t="inlineStr">
        <is>
          <t>SAN SEBASTİAN</t>
        </is>
      </c>
      <c r="H30" s="43" t="n"/>
      <c r="I30" s="51" t="n">
        <v>0</v>
      </c>
      <c r="J30" s="51" t="n">
        <v>0</v>
      </c>
      <c r="K30" s="51" t="n">
        <v>3</v>
      </c>
      <c r="L30" s="52" t="n"/>
      <c r="M30" s="23" t="n"/>
      <c r="N30" s="635" t="inlineStr">
        <is>
          <t>KAKAOLU BROWNİ</t>
        </is>
      </c>
      <c r="O30" s="573" t="n"/>
      <c r="P30" s="629" t="n"/>
      <c r="Q30" s="651" t="n">
        <v>0.25</v>
      </c>
      <c r="R30" s="574" t="n"/>
      <c r="S30" s="23" t="n"/>
      <c r="T30" s="53" t="inlineStr">
        <is>
          <t>BEYAZ EKLER</t>
        </is>
      </c>
      <c r="U30" s="542" t="n">
        <v>1</v>
      </c>
      <c r="V30" s="498" t="n"/>
      <c r="W30" s="635" t="inlineStr">
        <is>
          <t>GRANOLA DÖKME</t>
        </is>
      </c>
      <c r="X30" s="573" t="n"/>
      <c r="Y30" s="629" t="n"/>
      <c r="Z30" s="636" t="n">
        <v>0</v>
      </c>
      <c r="AA30" s="629" t="n"/>
    </row>
    <row r="31" ht="16" customHeight="1" thickBot="1">
      <c r="B31" s="542" t="inlineStr">
        <is>
          <t>ÇİKOLATALI EKLER</t>
        </is>
      </c>
      <c r="C31" s="637" t="n">
        <v>4</v>
      </c>
      <c r="D31" s="573" t="n"/>
      <c r="E31" s="629" t="n"/>
      <c r="F31" s="498" t="n"/>
      <c r="G31" s="652" t="inlineStr">
        <is>
          <t>ÇİKOLATA  SOS</t>
        </is>
      </c>
      <c r="H31" s="626" t="n"/>
      <c r="I31" s="54" t="n">
        <v>0</v>
      </c>
      <c r="J31" s="55" t="n"/>
      <c r="K31" s="54" t="n"/>
      <c r="L31" s="55" t="n"/>
      <c r="M31" s="23" t="n"/>
      <c r="N31" s="635" t="inlineStr">
        <is>
          <t>FRAMBUAZLI BROWNİ</t>
        </is>
      </c>
      <c r="O31" s="573" t="n"/>
      <c r="P31" s="629" t="n"/>
      <c r="Q31" s="651" t="n">
        <v>0</v>
      </c>
      <c r="R31" s="574" t="n"/>
      <c r="S31" s="23" t="n"/>
      <c r="T31" s="44" t="inlineStr">
        <is>
          <t>PETİFÜR</t>
        </is>
      </c>
      <c r="U31" s="542" t="n">
        <v>2</v>
      </c>
      <c r="V31" s="498" t="n"/>
      <c r="W31" s="653" t="inlineStr">
        <is>
          <t>KALP DENGE TAHILLI</t>
        </is>
      </c>
      <c r="X31" s="561" t="n"/>
      <c r="Y31" s="654" t="n"/>
      <c r="Z31" s="655" t="n">
        <v>2</v>
      </c>
      <c r="AA31" s="654" t="n"/>
    </row>
    <row r="32" ht="16" customHeight="1" thickBot="1">
      <c r="B32" s="542" t="inlineStr">
        <is>
          <t>TİRAMİSULU EKLER</t>
        </is>
      </c>
      <c r="C32" s="637" t="n">
        <v>1</v>
      </c>
      <c r="D32" s="573" t="n"/>
      <c r="E32" s="629" t="n"/>
      <c r="F32" s="498" t="n"/>
      <c r="G32" s="652" t="inlineStr">
        <is>
          <t>FRAMBUAZ SOS</t>
        </is>
      </c>
      <c r="H32" s="626" t="n"/>
      <c r="I32" s="54" t="n">
        <v>0</v>
      </c>
      <c r="J32" s="55" t="n"/>
      <c r="K32" s="54" t="n">
        <v>0</v>
      </c>
      <c r="L32" s="55" t="n"/>
      <c r="M32" s="23" t="n"/>
      <c r="N32" s="635" t="inlineStr">
        <is>
          <t>KARAMELLİ YILDIZ KURABİYE</t>
        </is>
      </c>
      <c r="O32" s="573" t="n"/>
      <c r="P32" s="629" t="n"/>
      <c r="Q32" s="651" t="n">
        <v>0</v>
      </c>
      <c r="R32" s="574" t="n"/>
      <c r="S32" s="23" t="n"/>
      <c r="T32" s="44" t="inlineStr">
        <is>
          <t>RULO PETİFÜR MUZLU</t>
        </is>
      </c>
      <c r="U32" s="542" t="n">
        <v>1.5</v>
      </c>
      <c r="V32" s="498" t="n"/>
      <c r="W32" s="545" t="n"/>
      <c r="X32" s="73" t="n"/>
      <c r="Y32" s="73" t="n"/>
      <c r="Z32" s="545" t="n"/>
      <c r="AA32" s="545" t="n"/>
    </row>
    <row r="33" ht="16" customHeight="1" thickBot="1">
      <c r="B33" s="542" t="inlineStr">
        <is>
          <t>ÇİLEKLİ EKLER</t>
        </is>
      </c>
      <c r="C33" s="637" t="n">
        <v>1</v>
      </c>
      <c r="D33" s="573" t="n"/>
      <c r="E33" s="629" t="n"/>
      <c r="F33" s="498" t="n"/>
      <c r="G33" s="498" t="n"/>
      <c r="M33" s="23" t="n"/>
      <c r="N33" s="635" t="inlineStr">
        <is>
          <t>ŞEKİLLİ KURABİYE</t>
        </is>
      </c>
      <c r="O33" s="573" t="n"/>
      <c r="P33" s="629" t="n"/>
      <c r="Q33" s="651" t="n">
        <v>0</v>
      </c>
      <c r="R33" s="574" t="n"/>
      <c r="S33" s="23" t="n"/>
      <c r="T33" s="44" t="inlineStr">
        <is>
          <t>RULO PETİFÜR ÇİLEK</t>
        </is>
      </c>
      <c r="U33" s="542" t="n">
        <v>1.5</v>
      </c>
      <c r="V33" s="498" t="n"/>
      <c r="W33" s="44" t="inlineStr">
        <is>
          <t>PASKALYA</t>
        </is>
      </c>
      <c r="X33" s="576" t="n"/>
      <c r="Y33" s="633" t="n"/>
      <c r="Z33" s="656" t="n">
        <v>1</v>
      </c>
      <c r="AA33" s="633" t="n"/>
    </row>
    <row r="34" ht="16" customHeight="1" thickBot="1">
      <c r="B34" s="542" t="inlineStr">
        <is>
          <t>FRAMBUAZLI EKLER</t>
        </is>
      </c>
      <c r="C34" s="637" t="n">
        <v>1</v>
      </c>
      <c r="D34" s="573" t="n"/>
      <c r="E34" s="629" t="n"/>
      <c r="F34" s="498" t="n"/>
      <c r="G34" s="498" t="n"/>
      <c r="M34" s="23" t="n"/>
      <c r="N34" s="657" t="inlineStr">
        <is>
          <t>TATLI KURABİYELER</t>
        </is>
      </c>
      <c r="O34" s="658" t="n"/>
      <c r="P34" s="659" t="n"/>
      <c r="Q34" s="521" t="inlineStr">
        <is>
          <t>TOPLAM ADET</t>
        </is>
      </c>
      <c r="R34" s="658" t="n"/>
      <c r="S34" s="23" t="n"/>
      <c r="T34" s="44" t="inlineStr">
        <is>
          <t>ÇİKO LİMON PARFE</t>
        </is>
      </c>
      <c r="U34" s="542" t="n">
        <v>0</v>
      </c>
      <c r="V34" s="498" t="n"/>
      <c r="W34" s="635" t="inlineStr">
        <is>
          <t>PASKALYA ÇİKOLATALI</t>
        </is>
      </c>
      <c r="X34" s="573" t="n"/>
      <c r="Y34" s="629" t="n"/>
      <c r="Z34" s="636" t="n">
        <v>0</v>
      </c>
      <c r="AA34" s="629" t="n"/>
    </row>
    <row r="35" ht="16" customHeight="1" thickBot="1">
      <c r="B35" s="542" t="inlineStr">
        <is>
          <t>FISTIKLI EKLER</t>
        </is>
      </c>
      <c r="C35" s="637" t="n">
        <v>1</v>
      </c>
      <c r="D35" s="573" t="n"/>
      <c r="E35" s="629" t="n"/>
      <c r="F35" s="498" t="n"/>
      <c r="G35" s="498" t="n"/>
      <c r="M35" s="23" t="n"/>
      <c r="N35" s="660" t="inlineStr">
        <is>
          <t>ELMALI KURABİYE</t>
        </is>
      </c>
      <c r="O35" s="631" t="n"/>
      <c r="P35" s="639" t="n"/>
      <c r="Q35" s="524" t="n">
        <v>0</v>
      </c>
      <c r="R35" s="631" t="n"/>
      <c r="S35" s="23" t="n"/>
      <c r="T35" s="44" t="inlineStr">
        <is>
          <t>ÇİLEKLİ ADET RULO</t>
        </is>
      </c>
      <c r="U35" s="542" t="n">
        <v>2</v>
      </c>
      <c r="V35" s="498" t="n"/>
      <c r="W35" s="653" t="inlineStr">
        <is>
          <t>TAHİNLİ ÇÖREK</t>
        </is>
      </c>
      <c r="X35" s="561" t="n"/>
      <c r="Y35" s="654" t="n"/>
      <c r="Z35" s="655" t="n">
        <v>3</v>
      </c>
      <c r="AA35" s="654" t="n"/>
    </row>
    <row r="36" ht="16" customHeight="1" thickBot="1">
      <c r="B36" s="542" t="inlineStr">
        <is>
          <t>KARAMEL EKLER</t>
        </is>
      </c>
      <c r="C36" s="637" t="n">
        <v>0</v>
      </c>
      <c r="D36" s="573" t="n"/>
      <c r="E36" s="629" t="n"/>
      <c r="F36" s="498" t="n"/>
      <c r="G36" s="498" t="n"/>
      <c r="M36" s="23" t="n"/>
      <c r="N36" s="38" t="inlineStr">
        <is>
          <t>VİŞNELİ KURABİYE</t>
        </is>
      </c>
      <c r="O36" s="573" t="n"/>
      <c r="P36" s="574" t="n"/>
      <c r="Q36" s="38" t="n">
        <v>0</v>
      </c>
      <c r="R36" s="574" t="n"/>
      <c r="S36" s="23" t="n"/>
      <c r="T36" s="44" t="inlineStr">
        <is>
          <t>MUZLU ADET RULO</t>
        </is>
      </c>
      <c r="U36" s="542" t="n">
        <v>0</v>
      </c>
      <c r="V36" s="498" t="n"/>
      <c r="W36" s="74" t="n"/>
      <c r="X36" s="74" t="n"/>
      <c r="Y36" s="74" t="n"/>
      <c r="Z36" s="545" t="n"/>
      <c r="AA36" s="545" t="n"/>
    </row>
    <row r="37" ht="16" customHeight="1" thickBot="1">
      <c r="B37" s="542" t="inlineStr">
        <is>
          <t>LAVANTA EKLER</t>
        </is>
      </c>
      <c r="C37" s="637" t="n">
        <v>1</v>
      </c>
      <c r="D37" s="573" t="n"/>
      <c r="E37" s="629" t="n"/>
      <c r="F37" s="498" t="n"/>
      <c r="G37" s="498" t="n"/>
      <c r="M37" s="23" t="n"/>
      <c r="N37" s="38" t="inlineStr">
        <is>
          <t>BADEMLİ UN KURABİYESİ</t>
        </is>
      </c>
      <c r="O37" s="573" t="n"/>
      <c r="P37" s="574" t="n"/>
      <c r="Q37" s="38" t="n">
        <v>0</v>
      </c>
      <c r="R37" s="574" t="n"/>
      <c r="S37" s="23" t="n"/>
      <c r="T37" s="56" t="inlineStr">
        <is>
          <t>DİLİM CHEESECAKELER</t>
        </is>
      </c>
      <c r="U37" s="57" t="n"/>
      <c r="V37" s="498" t="n"/>
      <c r="W37" s="44" t="inlineStr">
        <is>
          <t>BEZE BÜYÜK</t>
        </is>
      </c>
      <c r="X37" s="576" t="n"/>
      <c r="Y37" s="633" t="n"/>
      <c r="Z37" s="656" t="n">
        <v>0</v>
      </c>
      <c r="AA37" s="633" t="n"/>
    </row>
    <row r="38" ht="16" customHeight="1" thickBot="1">
      <c r="B38" s="36" t="inlineStr">
        <is>
          <t>LİMONLU EKLER</t>
        </is>
      </c>
      <c r="C38" s="637" t="n">
        <v>1</v>
      </c>
      <c r="D38" s="573" t="n"/>
      <c r="E38" s="629" t="n"/>
      <c r="F38" s="498" t="n"/>
      <c r="G38" s="498" t="n"/>
      <c r="M38" s="23" t="n"/>
      <c r="N38" s="38" t="inlineStr">
        <is>
          <t>DAMALI</t>
        </is>
      </c>
      <c r="O38" s="573" t="n"/>
      <c r="P38" s="574" t="n"/>
      <c r="Q38" s="38" t="n">
        <v>0</v>
      </c>
      <c r="R38" s="574" t="n"/>
      <c r="S38" s="23" t="n"/>
      <c r="T38" s="44" t="inlineStr">
        <is>
          <t>FRAMBUAZLI TEK</t>
        </is>
      </c>
      <c r="U38" s="542" t="n">
        <v>0</v>
      </c>
      <c r="V38" s="498" t="n"/>
      <c r="W38" s="635" t="inlineStr">
        <is>
          <t>BEZE BEYAZ MİNİK</t>
        </is>
      </c>
      <c r="X38" s="573" t="n"/>
      <c r="Y38" s="629" t="n"/>
      <c r="Z38" s="636" t="n">
        <v>0</v>
      </c>
      <c r="AA38" s="629" t="n"/>
    </row>
    <row r="39" ht="16" customHeight="1" thickBot="1">
      <c r="B39" s="58" t="inlineStr">
        <is>
          <t>MİLFÖY ÇEŞİTLERİ</t>
        </is>
      </c>
      <c r="C39" s="661" t="n"/>
      <c r="D39" s="573" t="n"/>
      <c r="E39" s="629" t="n"/>
      <c r="F39" s="498" t="n"/>
      <c r="G39" s="498" t="n"/>
      <c r="M39" s="23" t="n"/>
      <c r="N39" s="38" t="inlineStr">
        <is>
          <t>MARMELATLI KALP</t>
        </is>
      </c>
      <c r="O39" s="573" t="n"/>
      <c r="P39" s="574" t="n"/>
      <c r="Q39" s="38" t="n">
        <v>0</v>
      </c>
      <c r="R39" s="574" t="n"/>
      <c r="S39" s="23" t="n"/>
      <c r="T39" s="44" t="inlineStr">
        <is>
          <t>LİMONLU TEK</t>
        </is>
      </c>
      <c r="U39" s="542" t="n">
        <v>0</v>
      </c>
      <c r="V39" s="498" t="n"/>
      <c r="W39" s="653" t="inlineStr">
        <is>
          <t>BEZE RENKLİ MİNİK</t>
        </is>
      </c>
      <c r="X39" s="561" t="n"/>
      <c r="Y39" s="654" t="n"/>
      <c r="Z39" s="655" t="n">
        <v>0</v>
      </c>
      <c r="AA39" s="654" t="n"/>
    </row>
    <row r="40" ht="16" customHeight="1" thickBot="1">
      <c r="B40" s="542" t="inlineStr">
        <is>
          <t>ÇİLEKLİ MİLFÖY</t>
        </is>
      </c>
      <c r="C40" s="635" t="n">
        <v>0</v>
      </c>
      <c r="D40" s="573" t="n"/>
      <c r="E40" s="629" t="n"/>
      <c r="F40" s="498" t="n"/>
      <c r="G40" s="498" t="n"/>
      <c r="M40" s="23" t="n"/>
      <c r="N40" s="38" t="inlineStr">
        <is>
          <t>DÖKME ÇİKOLATALI KALP</t>
        </is>
      </c>
      <c r="O40" s="573" t="n"/>
      <c r="P40" s="574" t="n"/>
      <c r="Q40" s="38" t="n">
        <v>0.5</v>
      </c>
      <c r="R40" s="574" t="n"/>
      <c r="S40" s="23" t="n"/>
      <c r="T40" s="44" t="inlineStr">
        <is>
          <t>ÇİLEKLİ TEK</t>
        </is>
      </c>
      <c r="U40" s="542" t="n">
        <v>0</v>
      </c>
      <c r="V40" s="498" t="n"/>
      <c r="W40" s="74" t="n"/>
      <c r="X40" s="74" t="n"/>
      <c r="Y40" s="74" t="n"/>
      <c r="Z40" s="545" t="n"/>
      <c r="AA40" s="545" t="n"/>
    </row>
    <row r="41" ht="16" customHeight="1" thickBot="1">
      <c r="B41" s="542" t="inlineStr">
        <is>
          <t>SADE MİLFÖY</t>
        </is>
      </c>
      <c r="C41" s="635" t="n">
        <v>14</v>
      </c>
      <c r="D41" s="573" t="n"/>
      <c r="E41" s="629" t="n"/>
      <c r="F41" s="498" t="n"/>
      <c r="G41" s="498" t="n"/>
      <c r="M41" s="23" t="n"/>
      <c r="N41" s="38" t="inlineStr">
        <is>
          <t>FINDIKLI DÖKME ÇİKO KALP</t>
        </is>
      </c>
      <c r="O41" s="573" t="n"/>
      <c r="P41" s="574" t="n"/>
      <c r="Q41" s="38" t="n">
        <v>0</v>
      </c>
      <c r="R41" s="574" t="n"/>
      <c r="S41" s="23" t="n"/>
      <c r="T41" s="44" t="inlineStr">
        <is>
          <t>ÇİKOLATALI TEK</t>
        </is>
      </c>
      <c r="U41" s="542" t="n">
        <v>0</v>
      </c>
      <c r="V41" s="498" t="n"/>
      <c r="W41" s="44" t="inlineStr">
        <is>
          <t>ACIBADEM</t>
        </is>
      </c>
      <c r="X41" s="576" t="n"/>
      <c r="Y41" s="633" t="n"/>
      <c r="Z41" s="656" t="n">
        <v>0</v>
      </c>
      <c r="AA41" s="633" t="n"/>
    </row>
    <row r="42" ht="16" customHeight="1" thickBot="1">
      <c r="B42" s="542" t="inlineStr">
        <is>
          <t>MUZLU MİLFÖY</t>
        </is>
      </c>
      <c r="C42" s="635" t="n">
        <v>0</v>
      </c>
      <c r="D42" s="573" t="n"/>
      <c r="E42" s="629" t="n"/>
      <c r="F42" s="498" t="n"/>
      <c r="G42" s="498" t="n"/>
      <c r="M42" s="23" t="n"/>
      <c r="N42" s="38" t="inlineStr">
        <is>
          <t>LAYD HAND SİYAH</t>
        </is>
      </c>
      <c r="O42" s="573" t="n"/>
      <c r="P42" s="574" t="n"/>
      <c r="Q42" s="38" t="n">
        <v>1</v>
      </c>
      <c r="R42" s="574" t="n"/>
      <c r="S42" s="23" t="n"/>
      <c r="T42" s="23" t="n"/>
      <c r="U42" s="23" t="n"/>
      <c r="V42" s="23" t="n"/>
      <c r="W42" s="635" t="inlineStr">
        <is>
          <t>ACIBADEM MİNİK</t>
        </is>
      </c>
      <c r="X42" s="573" t="n"/>
      <c r="Y42" s="629" t="n"/>
      <c r="Z42" s="636" t="n">
        <v>0</v>
      </c>
      <c r="AA42" s="629" t="n"/>
    </row>
    <row r="43" ht="16" customHeight="1" thickBot="1">
      <c r="B43" s="59" t="inlineStr">
        <is>
          <t xml:space="preserve">DİLİM CHEESCAKE </t>
        </is>
      </c>
      <c r="C43" s="650" t="n"/>
      <c r="D43" s="573" t="n"/>
      <c r="E43" s="629" t="n"/>
      <c r="F43" s="498" t="n"/>
      <c r="G43" s="498" t="n"/>
      <c r="M43" s="23" t="n"/>
      <c r="N43" s="38" t="inlineStr">
        <is>
          <t>LAYD HAND BEYAZ</t>
        </is>
      </c>
      <c r="O43" s="573" t="n"/>
      <c r="P43" s="574" t="n"/>
      <c r="Q43" s="38" t="n">
        <v>1</v>
      </c>
      <c r="R43" s="574" t="n"/>
      <c r="S43" s="23" t="n"/>
      <c r="T43" s="23" t="n"/>
      <c r="U43" s="23" t="n"/>
      <c r="V43" s="23" t="n"/>
      <c r="W43" s="653" t="inlineStr">
        <is>
          <t>AYÇÖREĞİ</t>
        </is>
      </c>
      <c r="X43" s="561" t="n"/>
      <c r="Y43" s="654" t="n"/>
      <c r="Z43" s="655" t="n">
        <v>4</v>
      </c>
      <c r="AA43" s="654" t="n"/>
    </row>
    <row r="44" ht="16" customHeight="1" thickBot="1">
      <c r="B44" s="476" t="inlineStr">
        <is>
          <t>FRAMBUAZLI DİLİM</t>
        </is>
      </c>
      <c r="C44" s="635" t="n">
        <v>0</v>
      </c>
      <c r="D44" s="573" t="n"/>
      <c r="E44" s="629" t="n"/>
      <c r="F44" s="498" t="n"/>
      <c r="G44" s="498" t="n"/>
      <c r="M44" s="23" t="n"/>
      <c r="N44" s="38" t="inlineStr">
        <is>
          <t>SELANİK GEVREĞİ</t>
        </is>
      </c>
      <c r="O44" s="573" t="n"/>
      <c r="P44" s="574" t="n"/>
      <c r="Q44" s="38" t="n">
        <v>1.5</v>
      </c>
      <c r="R44" s="574" t="n"/>
      <c r="S44" s="23" t="n"/>
      <c r="T44" s="23" t="n"/>
      <c r="U44" s="23" t="n"/>
      <c r="V44" s="23" t="n"/>
      <c r="W44" s="545" t="inlineStr">
        <is>
          <t>BATONSALE ÇEŞİTLERİ</t>
        </is>
      </c>
      <c r="Z44" s="545" t="n"/>
    </row>
    <row r="45" ht="16" customHeight="1" thickBot="1">
      <c r="B45" s="542" t="inlineStr">
        <is>
          <t>LİMONLU DİLİM</t>
        </is>
      </c>
      <c r="C45" s="635" t="n">
        <v>4</v>
      </c>
      <c r="D45" s="573" t="n"/>
      <c r="E45" s="629" t="n"/>
      <c r="F45" s="498" t="n"/>
      <c r="G45" s="498" t="n"/>
      <c r="M45" s="23" t="n"/>
      <c r="N45" s="38" t="inlineStr">
        <is>
          <t>DAMLA SAKIZLI KURABİYE</t>
        </is>
      </c>
      <c r="O45" s="573" t="n"/>
      <c r="P45" s="574" t="n"/>
      <c r="Q45" s="38" t="n">
        <v>1</v>
      </c>
      <c r="R45" s="574" t="n"/>
      <c r="S45" s="23" t="n"/>
      <c r="T45" s="23" t="n"/>
      <c r="U45" s="23" t="n"/>
      <c r="V45" s="23" t="n"/>
      <c r="W45" s="44" t="inlineStr">
        <is>
          <t>BATONSALE SADE</t>
        </is>
      </c>
      <c r="X45" s="576" t="n"/>
      <c r="Y45" s="633" t="n"/>
      <c r="Z45" s="656" t="n">
        <v>0</v>
      </c>
      <c r="AA45" s="633" t="n"/>
    </row>
    <row r="46" ht="16" customHeight="1" thickBot="1">
      <c r="B46" s="542" t="inlineStr">
        <is>
          <t>ÇİKOLATALI DİLİM</t>
        </is>
      </c>
      <c r="C46" s="635" t="n">
        <v>4</v>
      </c>
      <c r="D46" s="573" t="n"/>
      <c r="E46" s="629" t="n"/>
      <c r="F46" s="498" t="n"/>
      <c r="G46" s="498" t="n"/>
      <c r="M46" s="23" t="n"/>
      <c r="N46" s="635" t="inlineStr">
        <is>
          <t>PORTAKALLI UN KURABİYESİ</t>
        </is>
      </c>
      <c r="O46" s="573" t="n"/>
      <c r="P46" s="629" t="n"/>
      <c r="Q46" s="651" t="n">
        <v>1</v>
      </c>
      <c r="R46" s="574" t="n"/>
      <c r="S46" s="23" t="n"/>
      <c r="T46" s="23" t="n"/>
      <c r="U46" s="23" t="n"/>
      <c r="V46" s="23" t="n"/>
      <c r="W46" s="635" t="inlineStr">
        <is>
          <t>BATONSALE ÇÖREKOTLU</t>
        </is>
      </c>
      <c r="X46" s="573" t="n"/>
      <c r="Y46" s="629" t="n"/>
      <c r="Z46" s="636" t="n">
        <v>3</v>
      </c>
      <c r="AA46" s="629" t="n"/>
    </row>
    <row r="47" ht="16" customHeight="1" thickBot="1">
      <c r="B47" s="542" t="inlineStr">
        <is>
          <t>ÇİLEKLİ DİLİM</t>
        </is>
      </c>
      <c r="C47" s="635" t="n">
        <v>5</v>
      </c>
      <c r="D47" s="573" t="n"/>
      <c r="E47" s="629" t="n"/>
      <c r="F47" s="498" t="n"/>
      <c r="G47" s="498" t="n"/>
      <c r="M47" s="23" t="n"/>
      <c r="N47" s="38" t="inlineStr">
        <is>
          <t>KAYISILI İNCİRLİ BİSCOTTİ</t>
        </is>
      </c>
      <c r="O47" s="573" t="n"/>
      <c r="P47" s="574" t="n"/>
      <c r="Q47" s="38" t="n">
        <v>0</v>
      </c>
      <c r="R47" s="574" t="n"/>
      <c r="S47" s="23" t="n"/>
      <c r="T47" s="23" t="n"/>
      <c r="U47" s="23" t="n"/>
      <c r="V47" s="23" t="n"/>
      <c r="W47" s="635" t="inlineStr">
        <is>
          <t>BATONSALE KAŞARLI</t>
        </is>
      </c>
      <c r="X47" s="573" t="n"/>
      <c r="Y47" s="629" t="n"/>
      <c r="Z47" s="636" t="n">
        <v>1</v>
      </c>
      <c r="AA47" s="629" t="n"/>
    </row>
    <row r="48" ht="16" customHeight="1" thickBot="1">
      <c r="B48" s="36" t="inlineStr">
        <is>
          <t>YABAN MERSİNLİ</t>
        </is>
      </c>
      <c r="C48" s="635" t="n">
        <v>0</v>
      </c>
      <c r="D48" s="573" t="n"/>
      <c r="E48" s="629" t="n"/>
      <c r="F48" s="498" t="n"/>
      <c r="G48" s="498" t="n"/>
      <c r="M48" s="23" t="n"/>
      <c r="N48" s="60" t="n"/>
      <c r="O48" s="60" t="n"/>
      <c r="P48" s="60" t="n"/>
      <c r="Q48" s="37" t="n"/>
      <c r="R48" s="37" t="n"/>
      <c r="S48" s="23" t="n"/>
      <c r="T48" s="23" t="n"/>
      <c r="U48" s="23" t="n"/>
      <c r="V48" s="23" t="n"/>
      <c r="W48" s="635" t="inlineStr">
        <is>
          <t>BATONSALE SUSAMLI</t>
        </is>
      </c>
      <c r="X48" s="573" t="n"/>
      <c r="Y48" s="629" t="n"/>
      <c r="Z48" s="636" t="n">
        <v>0</v>
      </c>
      <c r="AA48" s="629" t="n"/>
    </row>
    <row r="49" ht="16" customHeight="1" thickBot="1">
      <c r="B49" s="538" t="inlineStr">
        <is>
          <t>MANGOLU DİLİM</t>
        </is>
      </c>
      <c r="C49" s="635" t="n">
        <v>0</v>
      </c>
      <c r="D49" s="573" t="n"/>
      <c r="E49" s="629" t="n"/>
      <c r="F49" s="498" t="n"/>
      <c r="G49" s="498" t="n"/>
      <c r="M49" s="23" t="n"/>
      <c r="N49" s="38" t="inlineStr">
        <is>
          <t>UNSUZ DEREOTLU MEKİK</t>
        </is>
      </c>
      <c r="O49" s="573" t="n"/>
      <c r="P49" s="574" t="n"/>
      <c r="Q49" s="38" t="n">
        <v>0</v>
      </c>
      <c r="R49" s="574" t="n"/>
      <c r="S49" s="23" t="n"/>
      <c r="T49" s="23" t="n"/>
      <c r="U49" s="23" t="n"/>
      <c r="V49" s="23" t="n"/>
      <c r="W49" s="635" t="inlineStr">
        <is>
          <t>BATONSALE ANASONLU</t>
        </is>
      </c>
      <c r="X49" s="573" t="n"/>
      <c r="Y49" s="629" t="n"/>
      <c r="Z49" s="636" t="n">
        <v>0</v>
      </c>
      <c r="AA49" s="629" t="n"/>
    </row>
    <row r="50" ht="16" customHeight="1" thickBot="1">
      <c r="B50" s="471" t="inlineStr">
        <is>
          <t>aşure</t>
        </is>
      </c>
      <c r="C50" s="635" t="n">
        <v>5</v>
      </c>
      <c r="D50" s="573" t="n"/>
      <c r="E50" s="629" t="n"/>
      <c r="F50" s="498" t="n"/>
      <c r="G50" s="498" t="n"/>
      <c r="M50" s="23" t="n"/>
      <c r="N50" s="38" t="inlineStr">
        <is>
          <t>UNSUZ KEÇİBOYNUZU MEKİK</t>
        </is>
      </c>
      <c r="O50" s="573" t="n"/>
      <c r="P50" s="574" t="n"/>
      <c r="Q50" s="38" t="n">
        <v>0</v>
      </c>
      <c r="R50" s="574" t="n"/>
      <c r="S50" s="23" t="n"/>
      <c r="T50" s="23" t="n"/>
      <c r="U50" s="23" t="n"/>
      <c r="V50" s="23" t="n"/>
      <c r="W50" s="635" t="inlineStr">
        <is>
          <t>KIRIK KIRAK SUSAMLI</t>
        </is>
      </c>
      <c r="X50" s="573" t="n"/>
      <c r="Y50" s="629" t="n"/>
      <c r="Z50" s="636" t="n">
        <v>2</v>
      </c>
      <c r="AA50" s="629" t="n"/>
    </row>
    <row r="51" ht="16" customHeight="1" thickBot="1">
      <c r="B51" s="62" t="inlineStr">
        <is>
          <t>BÜTÜN CHEESCAKE</t>
        </is>
      </c>
      <c r="C51" s="63" t="n">
        <v>0</v>
      </c>
      <c r="D51" s="64" t="n">
        <v>1</v>
      </c>
      <c r="E51" s="64" t="n">
        <v>2</v>
      </c>
      <c r="F51" s="498" t="n"/>
      <c r="G51" s="498" t="n"/>
      <c r="M51" s="23" t="n"/>
      <c r="N51" s="635" t="inlineStr">
        <is>
          <t>UNSUZ KAKAO CHİA</t>
        </is>
      </c>
      <c r="O51" s="573" t="n"/>
      <c r="P51" s="629" t="n"/>
      <c r="Q51" s="651" t="n">
        <v>0</v>
      </c>
      <c r="R51" s="574" t="n"/>
      <c r="S51" s="23" t="n"/>
      <c r="T51" s="23" t="n"/>
      <c r="U51" s="23" t="n"/>
      <c r="V51" s="23" t="n"/>
      <c r="W51" s="646" t="inlineStr">
        <is>
          <t>GALETA ÇEŞİTLERİ</t>
        </is>
      </c>
      <c r="X51" s="573" t="n"/>
      <c r="Y51" s="629" t="n"/>
      <c r="Z51" s="647" t="n"/>
      <c r="AA51" s="629" t="n"/>
    </row>
    <row r="52" ht="16" customHeight="1" thickBot="1">
      <c r="B52" s="65" t="inlineStr">
        <is>
          <t>FRAMBUAZLI</t>
        </is>
      </c>
      <c r="C52" s="66" t="n">
        <v>3</v>
      </c>
      <c r="D52" s="27" t="n">
        <v>3</v>
      </c>
      <c r="E52" s="27" t="n">
        <v>0</v>
      </c>
      <c r="F52" s="498" t="n"/>
      <c r="G52" s="498" t="n"/>
      <c r="M52" s="23" t="n"/>
      <c r="N52" s="38" t="inlineStr">
        <is>
          <t>UNSUZ LİMONLU CHİA</t>
        </is>
      </c>
      <c r="O52" s="573" t="n"/>
      <c r="P52" s="574" t="n"/>
      <c r="Q52" s="38" t="n">
        <v>1.5</v>
      </c>
      <c r="R52" s="574" t="n"/>
      <c r="S52" s="23" t="n"/>
      <c r="T52" s="23" t="n"/>
      <c r="U52" s="23" t="n"/>
      <c r="V52" s="23" t="n"/>
      <c r="W52" s="635" t="inlineStr">
        <is>
          <t>GALET KAŞARLI</t>
        </is>
      </c>
      <c r="X52" s="573" t="n"/>
      <c r="Y52" s="629" t="n"/>
      <c r="Z52" s="636" t="n">
        <v>1</v>
      </c>
      <c r="AA52" s="629" t="n"/>
    </row>
    <row r="53" ht="16" customHeight="1" thickBot="1">
      <c r="B53" s="67" t="inlineStr">
        <is>
          <t>LİMONLU</t>
        </is>
      </c>
      <c r="C53" s="66" t="n">
        <v>2</v>
      </c>
      <c r="D53" s="27" t="n">
        <v>3</v>
      </c>
      <c r="E53" s="27" t="n">
        <v>0</v>
      </c>
      <c r="F53" s="498" t="n"/>
      <c r="G53" s="498" t="n"/>
      <c r="M53" s="23" t="n"/>
      <c r="N53" s="38" t="inlineStr">
        <is>
          <t>UNSUZ YABAN MERSİNLİ</t>
        </is>
      </c>
      <c r="O53" s="573" t="n"/>
      <c r="P53" s="574" t="n"/>
      <c r="Q53" s="38" t="n">
        <v>1</v>
      </c>
      <c r="R53" s="574" t="n"/>
      <c r="S53" s="23" t="n"/>
      <c r="T53" s="23" t="n"/>
      <c r="U53" s="23" t="n"/>
      <c r="V53" s="23" t="n"/>
      <c r="W53" s="635" t="inlineStr">
        <is>
          <t>GALET ÇÖREKOTLU</t>
        </is>
      </c>
      <c r="X53" s="573" t="n"/>
      <c r="Y53" s="629" t="n"/>
      <c r="Z53" s="636" t="n">
        <v>0</v>
      </c>
      <c r="AA53" s="629" t="n"/>
    </row>
    <row r="54" ht="16" customHeight="1" thickBot="1">
      <c r="B54" s="67" t="inlineStr">
        <is>
          <t>YABAN MERSİNLİ</t>
        </is>
      </c>
      <c r="C54" s="66" t="n">
        <v>2</v>
      </c>
      <c r="D54" s="27" t="n">
        <v>1</v>
      </c>
      <c r="E54" s="27" t="n">
        <v>0</v>
      </c>
      <c r="F54" s="498" t="n"/>
      <c r="G54" s="498" t="n"/>
      <c r="M54" s="23" t="n"/>
      <c r="N54" s="38" t="inlineStr">
        <is>
          <t>HURMALI BROWNİ</t>
        </is>
      </c>
      <c r="O54" s="573" t="n"/>
      <c r="P54" s="574" t="n"/>
      <c r="Q54" s="38" t="n">
        <v>0.5</v>
      </c>
      <c r="R54" s="574" t="n"/>
      <c r="S54" s="23" t="n"/>
      <c r="T54" s="23" t="n"/>
      <c r="U54" s="23" t="n"/>
      <c r="V54" s="23" t="n"/>
      <c r="W54" s="635" t="inlineStr">
        <is>
          <t>GALET SUSAMLI</t>
        </is>
      </c>
      <c r="X54" s="573" t="n"/>
      <c r="Y54" s="629" t="n"/>
      <c r="Z54" s="636" t="n">
        <v>0</v>
      </c>
      <c r="AA54" s="629" t="n"/>
    </row>
    <row r="55" ht="16" customHeight="1" thickBot="1">
      <c r="B55" s="67" t="inlineStr">
        <is>
          <t>ÇİKOLATALI</t>
        </is>
      </c>
      <c r="C55" s="66" t="n">
        <v>0</v>
      </c>
      <c r="D55" s="27" t="n">
        <v>0</v>
      </c>
      <c r="E55" s="27" t="n">
        <v>0</v>
      </c>
      <c r="F55" s="498" t="n"/>
      <c r="G55" s="498" t="n"/>
      <c r="M55" s="23" t="n"/>
      <c r="N55" s="38" t="inlineStr">
        <is>
          <t>HURMALI DİLİM</t>
        </is>
      </c>
      <c r="O55" s="573" t="n"/>
      <c r="P55" s="574" t="n"/>
      <c r="Q55" s="38" t="n">
        <v>0</v>
      </c>
      <c r="R55" s="574" t="n"/>
      <c r="S55" s="23" t="n"/>
      <c r="T55" s="23" t="n"/>
      <c r="U55" s="23" t="n"/>
      <c r="V55" s="23" t="n"/>
      <c r="W55" s="635" t="inlineStr">
        <is>
          <t>GALET ANASONLU</t>
        </is>
      </c>
      <c r="X55" s="573" t="n"/>
      <c r="Y55" s="629" t="n"/>
      <c r="Z55" s="636" t="n">
        <v>0</v>
      </c>
      <c r="AA55" s="629" t="n"/>
    </row>
    <row r="56" ht="16" customHeight="1" thickBot="1">
      <c r="B56" s="67" t="inlineStr">
        <is>
          <t>ÇİLEKLİ</t>
        </is>
      </c>
      <c r="C56" s="66" t="n">
        <v>2</v>
      </c>
      <c r="D56" s="27" t="n">
        <v>2</v>
      </c>
      <c r="E56" s="27" t="n">
        <v>0</v>
      </c>
      <c r="F56" s="498" t="n"/>
      <c r="G56" s="498" t="n"/>
      <c r="M56" s="23" t="n"/>
      <c r="N56" s="635" t="inlineStr">
        <is>
          <t>HAVUÇLU BROWNİ</t>
        </is>
      </c>
      <c r="O56" s="573" t="n"/>
      <c r="P56" s="629" t="n"/>
      <c r="Q56" s="651" t="n">
        <v>0.5</v>
      </c>
      <c r="R56" s="574" t="n"/>
      <c r="S56" s="23" t="n"/>
      <c r="T56" s="23" t="n"/>
      <c r="U56" s="23" t="n"/>
      <c r="V56" s="23" t="n"/>
      <c r="W56" s="646" t="inlineStr">
        <is>
          <t>KITIR ÇEŞİTLERİ</t>
        </is>
      </c>
      <c r="X56" s="573" t="n"/>
      <c r="Y56" s="629" t="n"/>
      <c r="Z56" s="647" t="n"/>
      <c r="AA56" s="629" t="n"/>
    </row>
    <row r="57" ht="16" customHeight="1" thickBot="1">
      <c r="B57" s="67" t="inlineStr">
        <is>
          <t>LOTUSLU</t>
        </is>
      </c>
      <c r="C57" s="66" t="n">
        <v>0</v>
      </c>
      <c r="D57" s="27" t="n">
        <v>0</v>
      </c>
      <c r="E57" s="27" t="n">
        <v>0</v>
      </c>
      <c r="F57" s="498" t="n"/>
      <c r="G57" s="498" t="n"/>
      <c r="M57" s="23" t="n"/>
      <c r="N57" s="38" t="inlineStr">
        <is>
          <t>PORTAKALLI ÇİKOLATA</t>
        </is>
      </c>
      <c r="O57" s="573" t="n"/>
      <c r="P57" s="574" t="n"/>
      <c r="Q57" s="38" t="n">
        <v>0</v>
      </c>
      <c r="R57" s="574" t="n"/>
      <c r="S57" s="23" t="n"/>
      <c r="T57" s="23" t="n"/>
      <c r="U57" s="23" t="n"/>
      <c r="V57" s="23" t="n"/>
      <c r="W57" s="635" t="inlineStr">
        <is>
          <t>BAHARATLI KITIR</t>
        </is>
      </c>
      <c r="X57" s="573" t="n"/>
      <c r="Y57" s="629" t="n"/>
      <c r="Z57" s="636" t="n">
        <v>2</v>
      </c>
      <c r="AA57" s="629" t="n"/>
    </row>
    <row r="58" ht="16" customHeight="1" thickBot="1">
      <c r="B58" s="67" t="inlineStr">
        <is>
          <t>MANGOLU</t>
        </is>
      </c>
      <c r="C58" s="66" t="n">
        <v>0</v>
      </c>
      <c r="D58" s="27" t="n">
        <v>0</v>
      </c>
      <c r="E58" s="27" t="n">
        <v>0</v>
      </c>
      <c r="F58" s="498" t="n"/>
      <c r="G58" s="498" t="n"/>
      <c r="M58" s="23" t="n"/>
      <c r="N58" s="38" t="inlineStr">
        <is>
          <t>ÇİKOLATA CİPS</t>
        </is>
      </c>
      <c r="O58" s="573" t="n"/>
      <c r="P58" s="574" t="n"/>
      <c r="Q58" s="38" t="n">
        <v>4</v>
      </c>
      <c r="R58" s="574" t="n"/>
      <c r="S58" s="23" t="n"/>
      <c r="T58" s="23" t="n"/>
      <c r="U58" s="23" t="n"/>
      <c r="V58" s="23" t="n"/>
      <c r="W58" s="635" t="inlineStr">
        <is>
          <t>KAŞARLI KITIR</t>
        </is>
      </c>
      <c r="X58" s="573" t="n"/>
      <c r="Y58" s="629" t="n"/>
      <c r="Z58" s="636" t="n">
        <v>0</v>
      </c>
      <c r="AA58" s="629" t="n"/>
    </row>
    <row r="59" ht="16" customHeight="1" thickBot="1">
      <c r="B59" s="67" t="inlineStr">
        <is>
          <t>LOTUSLU</t>
        </is>
      </c>
      <c r="C59" s="66" t="n">
        <v>0</v>
      </c>
      <c r="D59" s="27" t="n">
        <v>0</v>
      </c>
      <c r="E59" s="27" t="n">
        <v>0</v>
      </c>
      <c r="F59" s="498" t="n"/>
      <c r="G59" s="498" t="n"/>
      <c r="M59" s="23" t="n"/>
      <c r="N59" s="38" t="inlineStr">
        <is>
          <t>JAPON CİPSİ</t>
        </is>
      </c>
      <c r="O59" s="573" t="n"/>
      <c r="P59" s="574" t="n"/>
      <c r="Q59" s="38" t="n">
        <v>1</v>
      </c>
      <c r="R59" s="574" t="n"/>
      <c r="S59" s="23" t="n"/>
      <c r="T59" s="23" t="n"/>
      <c r="U59" s="23" t="n"/>
      <c r="V59" s="23" t="n"/>
      <c r="W59" s="635" t="inlineStr">
        <is>
          <t>ZENCEFİLLİ KITIR</t>
        </is>
      </c>
      <c r="X59" s="573" t="n"/>
      <c r="Y59" s="629" t="n"/>
      <c r="Z59" s="636" t="n">
        <v>0</v>
      </c>
      <c r="AA59" s="629" t="n"/>
    </row>
    <row r="60" ht="16" customHeight="1" thickBot="1">
      <c r="B60" s="23" t="n"/>
      <c r="C60" s="23" t="n"/>
      <c r="D60" s="23" t="n"/>
      <c r="E60" s="23" t="n"/>
      <c r="F60" s="23" t="n"/>
      <c r="G60" s="498" t="n"/>
      <c r="M60" s="23" t="n"/>
      <c r="N60" s="37" t="n"/>
      <c r="O60" s="37" t="n"/>
      <c r="P60" s="37" t="n"/>
      <c r="Q60" s="37" t="n"/>
      <c r="R60" s="37" t="n"/>
      <c r="S60" s="23" t="n"/>
      <c r="T60" s="23" t="n"/>
      <c r="U60" s="23" t="n"/>
      <c r="V60" s="23" t="n"/>
      <c r="W60" s="635" t="inlineStr">
        <is>
          <t>ACILI KITIR</t>
        </is>
      </c>
      <c r="X60" s="573" t="n"/>
      <c r="Y60" s="629" t="n"/>
      <c r="Z60" s="636" t="n">
        <v>0</v>
      </c>
      <c r="AA60" s="629" t="n"/>
    </row>
    <row r="61" ht="16" customHeight="1" thickBot="1">
      <c r="B61" s="23" t="n"/>
      <c r="C61" s="23" t="n"/>
      <c r="D61" s="23" t="n"/>
      <c r="E61" s="23" t="n"/>
      <c r="F61" s="23" t="n"/>
      <c r="G61" s="498" t="n"/>
      <c r="M61" s="23" t="n"/>
      <c r="N61" s="38" t="inlineStr">
        <is>
          <t>HAVUÇLU MABLE</t>
        </is>
      </c>
      <c r="O61" s="573" t="n"/>
      <c r="P61" s="574" t="n"/>
      <c r="Q61" s="38" t="n">
        <v>3</v>
      </c>
      <c r="R61" s="574" t="n"/>
      <c r="S61" s="23" t="n"/>
      <c r="T61" s="23" t="n"/>
      <c r="U61" s="23" t="n"/>
      <c r="V61" s="23" t="n"/>
      <c r="W61" s="646" t="inlineStr">
        <is>
          <t>CİPS ÇEŞİTLERİ</t>
        </is>
      </c>
      <c r="X61" s="573" t="n"/>
      <c r="Y61" s="629" t="n"/>
      <c r="Z61" s="647" t="n"/>
      <c r="AA61" s="629" t="n"/>
    </row>
    <row r="62" ht="16" customHeight="1" thickBot="1">
      <c r="B62" s="23" t="n"/>
      <c r="C62" s="23" t="n"/>
      <c r="D62" s="23" t="n"/>
      <c r="E62" s="23" t="n"/>
      <c r="F62" s="23" t="n"/>
      <c r="G62" s="498" t="n"/>
      <c r="M62" s="23" t="n"/>
      <c r="N62" s="38" t="inlineStr">
        <is>
          <t>ÜZÜMLÜ MABLE</t>
        </is>
      </c>
      <c r="O62" s="573" t="n"/>
      <c r="P62" s="574" t="n"/>
      <c r="Q62" s="38" t="n">
        <v>1</v>
      </c>
      <c r="R62" s="574" t="n"/>
      <c r="S62" s="23" t="n"/>
      <c r="T62" s="23" t="n"/>
      <c r="U62" s="23" t="n"/>
      <c r="V62" s="23" t="n"/>
      <c r="W62" s="635" t="inlineStr">
        <is>
          <t>HAŞHAŞLI CİPS</t>
        </is>
      </c>
      <c r="X62" s="573" t="n"/>
      <c r="Y62" s="629" t="n"/>
      <c r="Z62" s="636" t="n">
        <v>1</v>
      </c>
      <c r="AA62" s="629" t="n"/>
    </row>
    <row r="63" ht="16" customHeight="1" thickBot="1">
      <c r="B63" s="23" t="n"/>
      <c r="C63" s="23" t="n"/>
      <c r="D63" s="23" t="n"/>
      <c r="E63" s="23" t="n"/>
      <c r="F63" s="23" t="n"/>
      <c r="G63" s="498" t="n"/>
      <c r="M63" s="23" t="n"/>
      <c r="N63" s="38" t="inlineStr">
        <is>
          <t>LİMONLU MABLE</t>
        </is>
      </c>
      <c r="O63" s="573" t="n"/>
      <c r="P63" s="574" t="n"/>
      <c r="Q63" s="38" t="n">
        <v>1</v>
      </c>
      <c r="R63" s="574" t="n"/>
      <c r="S63" s="23" t="n"/>
      <c r="T63" s="23" t="n"/>
      <c r="U63" s="23" t="n"/>
      <c r="V63" s="23" t="n"/>
      <c r="W63" s="635" t="inlineStr">
        <is>
          <t>İRMİKLİ CİPS</t>
        </is>
      </c>
      <c r="X63" s="573" t="n"/>
      <c r="Y63" s="629" t="n"/>
      <c r="Z63" s="636" t="n">
        <v>3</v>
      </c>
      <c r="AA63" s="629" t="n"/>
    </row>
    <row r="64" ht="16" customHeight="1" thickBot="1">
      <c r="B64" s="23" t="n"/>
      <c r="C64" s="23" t="n"/>
      <c r="D64" s="23" t="n"/>
      <c r="E64" s="23" t="n"/>
      <c r="F64" s="23" t="n"/>
      <c r="G64" s="498" t="n"/>
      <c r="M64" s="23" t="n"/>
      <c r="N64" s="38" t="inlineStr">
        <is>
          <t>PORTAKALLI MABLE</t>
        </is>
      </c>
      <c r="O64" s="573" t="n"/>
      <c r="P64" s="574" t="n"/>
      <c r="Q64" s="38" t="n">
        <v>0</v>
      </c>
      <c r="R64" s="574" t="n"/>
      <c r="S64" s="23" t="n"/>
      <c r="T64" s="23" t="n"/>
      <c r="U64" s="23" t="n"/>
      <c r="V64" s="23" t="n"/>
      <c r="W64" s="635" t="inlineStr">
        <is>
          <t>PARMESANLI CİPS</t>
        </is>
      </c>
      <c r="X64" s="573" t="n"/>
      <c r="Y64" s="629" t="n"/>
      <c r="Z64" s="636" t="n">
        <v>4</v>
      </c>
      <c r="AA64" s="629" t="n"/>
    </row>
    <row r="65" ht="16" customHeight="1" thickBot="1">
      <c r="B65" s="23" t="n"/>
      <c r="C65" s="23" t="n"/>
      <c r="D65" s="23" t="n"/>
      <c r="E65" s="23" t="n"/>
      <c r="F65" s="23" t="n"/>
      <c r="G65" s="498" t="n"/>
      <c r="M65" s="23" t="n"/>
      <c r="N65" s="38" t="inlineStr">
        <is>
          <t>ZEBRA MABLE</t>
        </is>
      </c>
      <c r="O65" s="573" t="n"/>
      <c r="P65" s="574" t="n"/>
      <c r="Q65" s="38" t="n">
        <v>0</v>
      </c>
      <c r="R65" s="574" t="n"/>
      <c r="S65" s="23" t="n"/>
      <c r="T65" s="23" t="n"/>
      <c r="U65" s="23" t="n"/>
      <c r="V65" s="23" t="n"/>
      <c r="W65" s="635" t="inlineStr">
        <is>
          <t>TAM BUĞDAY CİPS</t>
        </is>
      </c>
      <c r="X65" s="573" t="n"/>
      <c r="Y65" s="629" t="n"/>
      <c r="Z65" s="636" t="n">
        <v>1</v>
      </c>
      <c r="AA65" s="629" t="n"/>
    </row>
    <row r="66" ht="16" customHeight="1" thickBot="1">
      <c r="B66" s="23" t="n"/>
      <c r="C66" s="23" t="n"/>
      <c r="D66" s="23" t="n"/>
      <c r="E66" s="23" t="n"/>
      <c r="F66" s="23" t="n"/>
      <c r="G66" s="498" t="n"/>
      <c r="M66" s="23" t="n"/>
      <c r="N66" s="38" t="inlineStr">
        <is>
          <t>ÇİKOLATA MABLE</t>
        </is>
      </c>
      <c r="O66" s="573" t="n"/>
      <c r="P66" s="574" t="n"/>
      <c r="Q66" s="38" t="n">
        <v>3</v>
      </c>
      <c r="R66" s="574" t="n"/>
      <c r="S66" s="23" t="n"/>
      <c r="T66" s="23" t="n"/>
      <c r="U66" s="23" t="n"/>
      <c r="V66" s="23" t="n"/>
      <c r="W66" s="546" t="n"/>
      <c r="X66" s="561" t="n"/>
      <c r="Y66" s="561" t="n"/>
      <c r="Z66" s="561" t="n"/>
      <c r="AA66" s="561" t="n"/>
    </row>
    <row r="67" ht="16" customHeight="1" thickBot="1">
      <c r="B67" s="23" t="n"/>
      <c r="C67" s="23" t="n"/>
      <c r="D67" s="23" t="n"/>
      <c r="E67" s="23" t="n"/>
      <c r="F67" s="23" t="n"/>
      <c r="G67" s="498" t="n"/>
      <c r="M67" s="23" t="n"/>
      <c r="N67" s="38" t="inlineStr">
        <is>
          <t>ŞEKERSİZ MABLE</t>
        </is>
      </c>
      <c r="O67" s="573" t="n"/>
      <c r="P67" s="574" t="n"/>
      <c r="Q67" s="38" t="n">
        <v>0</v>
      </c>
      <c r="R67" s="574" t="n"/>
      <c r="S67" s="23" t="n"/>
      <c r="T67" s="23" t="n"/>
      <c r="U67" s="23" t="n"/>
      <c r="V67" s="23" t="n"/>
      <c r="W67" s="547" t="n"/>
    </row>
    <row r="68" ht="16" customHeight="1" thickBot="1">
      <c r="B68" s="23" t="n"/>
      <c r="C68" s="23" t="n"/>
      <c r="D68" s="23" t="n"/>
      <c r="E68" s="23" t="n"/>
      <c r="F68" s="23" t="n"/>
      <c r="G68" s="498" t="n"/>
      <c r="M68" s="23" t="n"/>
      <c r="N68" s="38" t="inlineStr">
        <is>
          <t>KIRMIZI MEYVALI MABLE</t>
        </is>
      </c>
      <c r="O68" s="573" t="n"/>
      <c r="P68" s="574" t="n"/>
      <c r="Q68" s="38" t="n">
        <v>1</v>
      </c>
      <c r="R68" s="574" t="n"/>
      <c r="S68" s="23" t="n"/>
      <c r="T68" s="23" t="n"/>
      <c r="U68" s="23" t="n"/>
      <c r="V68" s="23" t="n"/>
      <c r="W68" s="547" t="n"/>
    </row>
    <row r="69" ht="16" customHeight="1" thickBot="1">
      <c r="B69" s="23" t="n"/>
      <c r="C69" s="23" t="n"/>
      <c r="D69" s="23" t="n"/>
      <c r="E69" s="23" t="n"/>
      <c r="F69" s="23" t="n"/>
      <c r="G69" s="498" t="n"/>
      <c r="M69" s="23" t="n"/>
      <c r="N69" s="37" t="n"/>
      <c r="O69" s="37" t="n"/>
      <c r="P69" s="37" t="n"/>
      <c r="Q69" s="37" t="n"/>
      <c r="R69" s="37" t="n"/>
      <c r="S69" s="23" t="n"/>
      <c r="T69" s="23" t="n"/>
      <c r="U69" s="23" t="n"/>
      <c r="V69" s="23" t="n"/>
      <c r="W69" s="547" t="n"/>
    </row>
    <row r="70" ht="16" customHeight="1" thickBot="1">
      <c r="B70" s="23" t="n"/>
      <c r="C70" s="23" t="n"/>
      <c r="D70" s="23" t="n"/>
      <c r="E70" s="23" t="n"/>
      <c r="F70" s="23" t="n"/>
      <c r="G70" s="498" t="n"/>
      <c r="M70" s="23" t="n"/>
      <c r="N70" s="68" t="inlineStr">
        <is>
          <t>BADEMLİ PORTAKALLI BÜTÜN</t>
        </is>
      </c>
      <c r="O70" s="69" t="n"/>
      <c r="P70" s="69" t="n"/>
      <c r="Q70" s="38" t="n">
        <v>1</v>
      </c>
      <c r="R70" s="574" t="n"/>
      <c r="S70" s="23" t="n"/>
      <c r="T70" s="23" t="n"/>
      <c r="U70" s="23" t="n"/>
      <c r="V70" s="23" t="n"/>
      <c r="W70" s="547" t="n"/>
    </row>
    <row r="71" ht="16" customHeight="1" thickBot="1">
      <c r="B71" s="23" t="n"/>
      <c r="C71" s="23" t="n"/>
      <c r="D71" s="23" t="n"/>
      <c r="E71" s="23" t="n"/>
      <c r="F71" s="23" t="n"/>
      <c r="G71" s="498" t="n"/>
      <c r="M71" s="23" t="n"/>
      <c r="N71" s="635" t="inlineStr">
        <is>
          <t>HAVUÇLU BÜTÜN</t>
        </is>
      </c>
      <c r="O71" s="573" t="n"/>
      <c r="P71" s="629" t="n"/>
      <c r="Q71" s="651" t="n">
        <v>0</v>
      </c>
      <c r="R71" s="574" t="n"/>
      <c r="S71" s="23" t="n"/>
      <c r="T71" s="23" t="n"/>
      <c r="U71" s="23" t="n"/>
      <c r="V71" s="23" t="n"/>
      <c r="W71" s="547" t="n"/>
    </row>
    <row r="72" ht="16" customHeight="1" thickBot="1">
      <c r="B72" s="23" t="n"/>
      <c r="C72" s="23" t="n"/>
      <c r="D72" s="23" t="n"/>
      <c r="E72" s="23" t="n"/>
      <c r="F72" s="23" t="n"/>
      <c r="G72" s="498" t="n"/>
      <c r="M72" s="23" t="n"/>
      <c r="N72" s="635" t="inlineStr">
        <is>
          <t>VİŞNELİ BÜTÜN</t>
        </is>
      </c>
      <c r="O72" s="573" t="n"/>
      <c r="P72" s="629" t="n"/>
      <c r="Q72" s="651" t="n">
        <v>0</v>
      </c>
      <c r="R72" s="574" t="n"/>
      <c r="S72" s="23" t="n"/>
      <c r="T72" s="23" t="n"/>
      <c r="U72" s="23" t="n"/>
      <c r="V72" s="23" t="n"/>
      <c r="W72" s="547" t="n"/>
    </row>
    <row r="73" ht="16" customHeight="1" thickBot="1">
      <c r="B73" s="23" t="n"/>
      <c r="C73" s="23" t="n"/>
      <c r="D73" s="23" t="n"/>
      <c r="E73" s="23" t="n"/>
      <c r="F73" s="23" t="n"/>
      <c r="G73" s="498" t="n"/>
      <c r="M73" s="23" t="n"/>
      <c r="N73" s="635" t="inlineStr">
        <is>
          <t>FRANSIZ ÇİKOLATALI BÜTÜN</t>
        </is>
      </c>
      <c r="O73" s="573" t="n"/>
      <c r="P73" s="629" t="n"/>
      <c r="Q73" s="651" t="n">
        <v>0</v>
      </c>
      <c r="R73" s="574" t="n"/>
      <c r="S73" s="23" t="n"/>
      <c r="T73" s="23" t="n"/>
      <c r="U73" s="23" t="n"/>
      <c r="V73" s="23" t="n"/>
      <c r="W73" s="547" t="n"/>
    </row>
    <row r="74" ht="16" customHeight="1" thickBot="1">
      <c r="B74" s="23" t="n"/>
      <c r="C74" s="23" t="n"/>
      <c r="D74" s="23" t="n"/>
      <c r="E74" s="23" t="n"/>
      <c r="F74" s="23" t="n"/>
      <c r="G74" s="498" t="n"/>
      <c r="M74" s="23" t="n"/>
      <c r="N74" s="37" t="n"/>
      <c r="O74" s="37" t="n"/>
      <c r="P74" s="37" t="n"/>
      <c r="Q74" s="37" t="n"/>
      <c r="R74" s="37" t="n"/>
      <c r="S74" s="23" t="n"/>
      <c r="T74" s="23" t="n"/>
      <c r="U74" s="23" t="n"/>
      <c r="V74" s="23" t="n"/>
      <c r="W74" s="547" t="n"/>
    </row>
    <row r="75" ht="16" customHeight="1" thickBot="1">
      <c r="B75" s="23" t="n"/>
      <c r="C75" s="23" t="n"/>
      <c r="D75" s="23" t="n"/>
      <c r="E75" s="23" t="n"/>
      <c r="F75" s="23" t="n"/>
      <c r="G75" s="498" t="n"/>
      <c r="M75" s="23" t="n"/>
      <c r="N75" s="635" t="inlineStr">
        <is>
          <t>ÇİKOLATALI MUFFİN</t>
        </is>
      </c>
      <c r="O75" s="573" t="n"/>
      <c r="P75" s="629" t="n"/>
      <c r="Q75" s="651" t="n">
        <v>12</v>
      </c>
      <c r="R75" s="574" t="n"/>
      <c r="S75" s="23" t="n"/>
      <c r="T75" s="23" t="n"/>
      <c r="U75" s="23" t="n"/>
      <c r="V75" s="23" t="n"/>
      <c r="W75" s="547" t="n"/>
    </row>
    <row r="76" ht="16" customHeight="1" thickBot="1">
      <c r="B76" s="23" t="n"/>
      <c r="C76" s="23" t="n"/>
      <c r="D76" s="23" t="n"/>
      <c r="E76" s="23" t="n"/>
      <c r="F76" s="23" t="n"/>
      <c r="G76" s="498" t="n"/>
      <c r="M76" s="23" t="n"/>
      <c r="N76" s="635" t="inlineStr">
        <is>
          <t>HAVUÇLI MUFFİN</t>
        </is>
      </c>
      <c r="O76" s="573" t="n"/>
      <c r="P76" s="629" t="n"/>
      <c r="Q76" s="651" t="n">
        <v>5</v>
      </c>
      <c r="R76" s="574" t="n"/>
      <c r="S76" s="23" t="n"/>
      <c r="T76" s="23" t="n"/>
      <c r="U76" s="23" t="n"/>
      <c r="V76" s="23" t="n"/>
      <c r="W76" s="547" t="n"/>
    </row>
    <row r="77" ht="16" customHeight="1" thickBot="1">
      <c r="B77" s="23" t="n"/>
      <c r="C77" s="23" t="n"/>
      <c r="D77" s="23" t="n"/>
      <c r="E77" s="23" t="n"/>
      <c r="F77" s="23" t="n"/>
      <c r="G77" s="498" t="n"/>
      <c r="M77" s="23" t="n"/>
      <c r="N77" s="635" t="inlineStr">
        <is>
          <t>FRAMBUAZLI MUFFİN</t>
        </is>
      </c>
      <c r="O77" s="573" t="n"/>
      <c r="P77" s="629" t="n"/>
      <c r="Q77" s="651" t="n">
        <v>5</v>
      </c>
      <c r="R77" s="574" t="n"/>
      <c r="S77" s="23" t="n"/>
      <c r="T77" s="23" t="n"/>
      <c r="U77" s="23" t="n"/>
      <c r="V77" s="23" t="n"/>
      <c r="W77" s="547" t="n"/>
    </row>
    <row r="78" ht="16" customHeight="1" thickBot="1">
      <c r="B78" s="23" t="n"/>
      <c r="C78" s="23" t="n"/>
      <c r="D78" s="23" t="n"/>
      <c r="E78" s="23" t="n"/>
      <c r="F78" s="23" t="n"/>
      <c r="G78" s="498" t="n"/>
      <c r="M78" s="23" t="n"/>
      <c r="N78" s="635" t="inlineStr">
        <is>
          <t>LİMONLU MUFFİN</t>
        </is>
      </c>
      <c r="O78" s="573" t="n"/>
      <c r="P78" s="629" t="n"/>
      <c r="Q78" s="651" t="n">
        <v>4</v>
      </c>
      <c r="R78" s="574" t="n"/>
      <c r="S78" s="23" t="n"/>
      <c r="T78" s="23" t="n"/>
      <c r="U78" s="23" t="n"/>
      <c r="V78" s="23" t="n"/>
      <c r="W78" s="547" t="n"/>
    </row>
    <row r="79" ht="16" customHeight="1" thickBot="1">
      <c r="B79" s="23" t="n"/>
      <c r="C79" s="23" t="n"/>
      <c r="D79" s="23" t="n"/>
      <c r="E79" s="23" t="n"/>
      <c r="F79" s="23" t="n"/>
      <c r="G79" s="498" t="n"/>
      <c r="M79" s="23" t="n"/>
      <c r="N79" s="37" t="n"/>
      <c r="O79" s="37" t="n"/>
      <c r="P79" s="37" t="n"/>
      <c r="Q79" s="37" t="n"/>
      <c r="R79" s="37" t="n"/>
      <c r="S79" s="23" t="n"/>
      <c r="T79" s="23" t="n"/>
      <c r="U79" s="23" t="n"/>
      <c r="V79" s="23" t="n"/>
      <c r="W79" s="547" t="n"/>
    </row>
    <row r="80" ht="16" customHeight="1" thickBot="1">
      <c r="B80" s="23" t="n"/>
      <c r="C80" s="23" t="n"/>
      <c r="D80" s="23" t="n"/>
      <c r="E80" s="23" t="n"/>
      <c r="F80" s="23" t="n"/>
      <c r="G80" s="498" t="n"/>
      <c r="M80" s="23" t="n"/>
      <c r="N80" s="635" t="inlineStr">
        <is>
          <t>ŞEKİLLİ KURABİYE</t>
        </is>
      </c>
      <c r="O80" s="573" t="n"/>
      <c r="P80" s="629" t="n"/>
      <c r="Q80" s="651" t="n">
        <v>0</v>
      </c>
      <c r="R80" s="574" t="n"/>
      <c r="S80" s="23" t="n"/>
      <c r="T80" s="23" t="n"/>
      <c r="U80" s="23" t="n"/>
      <c r="V80" s="23" t="n"/>
      <c r="W80" s="547" t="n"/>
    </row>
    <row r="81" ht="16" customHeight="1" thickBot="1">
      <c r="B81" s="23" t="n"/>
      <c r="C81" s="23" t="n"/>
      <c r="D81" s="23" t="n"/>
      <c r="E81" s="23" t="n"/>
      <c r="F81" s="23" t="n"/>
      <c r="G81" s="498" t="n"/>
      <c r="M81" s="23" t="n"/>
      <c r="N81" s="635" t="inlineStr">
        <is>
          <t>PASKALYA</t>
        </is>
      </c>
      <c r="O81" s="573" t="n"/>
      <c r="P81" s="629" t="n"/>
      <c r="Q81" s="651" t="n">
        <v>3</v>
      </c>
      <c r="R81" s="574" t="n"/>
      <c r="S81" s="23" t="n"/>
      <c r="T81" s="23" t="n"/>
      <c r="U81" s="23" t="n"/>
      <c r="V81" s="23" t="n"/>
      <c r="W81" s="547" t="n"/>
    </row>
    <row r="82" ht="16" customHeight="1" thickBot="1">
      <c r="B82" s="23" t="n"/>
      <c r="C82" s="23" t="n"/>
      <c r="D82" s="23" t="n"/>
      <c r="E82" s="23" t="n"/>
      <c r="F82" s="23" t="n"/>
      <c r="G82" s="498" t="n"/>
      <c r="M82" s="23" t="n"/>
      <c r="N82" s="635" t="inlineStr">
        <is>
          <t>PASKALYA ÇİKOLATALI</t>
        </is>
      </c>
      <c r="O82" s="573" t="n"/>
      <c r="P82" s="629" t="n"/>
      <c r="Q82" s="651" t="n">
        <v>1</v>
      </c>
      <c r="R82" s="574" t="n"/>
      <c r="S82" s="23" t="n"/>
      <c r="T82" s="23" t="n"/>
      <c r="U82" s="23" t="n"/>
      <c r="V82" s="23" t="n"/>
      <c r="W82" s="547" t="n"/>
    </row>
    <row r="83" ht="16" customHeight="1" thickBot="1">
      <c r="B83" s="23" t="n"/>
      <c r="C83" s="23" t="n"/>
      <c r="D83" s="23" t="n"/>
      <c r="E83" s="23" t="n"/>
      <c r="F83" s="23" t="n"/>
      <c r="G83" s="498" t="n"/>
      <c r="M83" s="23" t="n"/>
      <c r="N83" s="635" t="inlineStr">
        <is>
          <t>TAHİNLİ ÇÖREK</t>
        </is>
      </c>
      <c r="O83" s="573" t="n"/>
      <c r="P83" s="629" t="n"/>
      <c r="Q83" s="651" t="n">
        <v>2</v>
      </c>
      <c r="R83" s="574" t="n"/>
      <c r="S83" s="23" t="n"/>
      <c r="T83" s="23" t="n"/>
      <c r="U83" s="23" t="n"/>
      <c r="V83" s="23" t="n"/>
      <c r="W83" s="547" t="n"/>
    </row>
    <row r="84" ht="16" customHeight="1" thickBot="1">
      <c r="B84" s="23" t="n"/>
      <c r="C84" s="23" t="n"/>
      <c r="D84" s="23" t="n"/>
      <c r="E84" s="23" t="n"/>
      <c r="F84" s="23" t="n"/>
      <c r="G84" s="498" t="n"/>
      <c r="M84" s="23" t="n"/>
      <c r="N84" s="37" t="n"/>
      <c r="O84" s="37" t="n"/>
      <c r="P84" s="37" t="n"/>
      <c r="Q84" s="37" t="n"/>
      <c r="R84" s="37" t="n"/>
      <c r="S84" s="23" t="n"/>
      <c r="T84" s="23" t="n"/>
      <c r="U84" s="23" t="n"/>
      <c r="V84" s="23" t="n"/>
      <c r="W84" s="547" t="n"/>
    </row>
    <row r="85" ht="16" customHeight="1" thickBot="1">
      <c r="B85" s="23" t="n"/>
      <c r="C85" s="23" t="n"/>
      <c r="D85" s="23" t="n"/>
      <c r="E85" s="23" t="n"/>
      <c r="F85" s="23" t="n"/>
      <c r="G85" s="498" t="n"/>
      <c r="M85" s="23" t="n"/>
      <c r="N85" s="635" t="inlineStr">
        <is>
          <t>BEZE BÜYÜK</t>
        </is>
      </c>
      <c r="O85" s="573" t="n"/>
      <c r="P85" s="629" t="n"/>
      <c r="Q85" s="651" t="n">
        <v>10</v>
      </c>
      <c r="R85" s="574" t="n"/>
      <c r="S85" s="23" t="n"/>
      <c r="T85" s="23" t="n"/>
      <c r="U85" s="23" t="n"/>
      <c r="V85" s="23" t="n"/>
      <c r="W85" s="547" t="n"/>
    </row>
    <row r="86" ht="16" customHeight="1" thickBot="1">
      <c r="B86" s="23" t="n"/>
      <c r="C86" s="23" t="n"/>
      <c r="D86" s="23" t="n"/>
      <c r="E86" s="23" t="n"/>
      <c r="F86" s="23" t="n"/>
      <c r="G86" s="498" t="n"/>
      <c r="M86" s="23" t="n"/>
      <c r="N86" s="635" t="inlineStr">
        <is>
          <t>BEZE BEYAZ MİNİK</t>
        </is>
      </c>
      <c r="O86" s="573" t="n"/>
      <c r="P86" s="629" t="n"/>
      <c r="Q86" s="651" t="n">
        <v>10</v>
      </c>
      <c r="R86" s="574" t="n"/>
      <c r="S86" s="23" t="n"/>
      <c r="T86" s="23" t="n"/>
      <c r="U86" s="23" t="n"/>
      <c r="V86" s="23" t="n"/>
      <c r="W86" s="547" t="n"/>
    </row>
    <row r="87" ht="16" customHeight="1" thickBot="1">
      <c r="B87" s="23" t="n"/>
      <c r="C87" s="23" t="n"/>
      <c r="D87" s="23" t="n"/>
      <c r="E87" s="23" t="n"/>
      <c r="F87" s="23" t="n"/>
      <c r="G87" s="498" t="n"/>
      <c r="M87" s="23" t="n"/>
      <c r="N87" s="635" t="inlineStr">
        <is>
          <t>BEZE RENKLİ MİNİK</t>
        </is>
      </c>
      <c r="O87" s="573" t="n"/>
      <c r="P87" s="629" t="n"/>
      <c r="Q87" s="651" t="n">
        <v>10</v>
      </c>
      <c r="R87" s="574" t="n"/>
      <c r="S87" s="23" t="n"/>
      <c r="T87" s="23" t="n"/>
      <c r="U87" s="23" t="n"/>
      <c r="V87" s="23" t="n"/>
      <c r="W87" s="547" t="n"/>
    </row>
    <row r="88" ht="16" customHeight="1" thickBot="1">
      <c r="B88" s="23" t="n"/>
      <c r="C88" s="23" t="n"/>
      <c r="D88" s="23" t="n"/>
      <c r="E88" s="23" t="n"/>
      <c r="F88" s="23" t="n"/>
      <c r="G88" s="498" t="n"/>
      <c r="M88" s="23" t="n"/>
      <c r="N88" s="37" t="n"/>
      <c r="O88" s="37" t="n"/>
      <c r="P88" s="37" t="n"/>
      <c r="Q88" s="37" t="n"/>
      <c r="R88" s="37" t="n"/>
      <c r="S88" s="23" t="n"/>
      <c r="T88" s="23" t="n"/>
      <c r="U88" s="23" t="n"/>
      <c r="V88" s="23" t="n"/>
      <c r="W88" s="547" t="n"/>
    </row>
    <row r="89" ht="16" customHeight="1" thickBot="1"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38" t="inlineStr">
        <is>
          <t>ACIBADEM</t>
        </is>
      </c>
      <c r="O89" s="573" t="n"/>
      <c r="P89" s="574" t="n"/>
      <c r="Q89" s="38" t="n">
        <v>10</v>
      </c>
      <c r="R89" s="574" t="n"/>
      <c r="S89" s="23" t="n"/>
      <c r="T89" s="23" t="n"/>
      <c r="U89" s="23" t="n"/>
      <c r="V89" s="23" t="n"/>
      <c r="W89" s="547" t="n"/>
    </row>
    <row r="90" ht="16" customHeight="1" thickBot="1"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38" t="inlineStr">
        <is>
          <t>ACIBADEM MİNİK</t>
        </is>
      </c>
      <c r="O90" s="573" t="n"/>
      <c r="P90" s="574" t="n"/>
      <c r="Q90" s="38" t="n">
        <v>1</v>
      </c>
      <c r="R90" s="574" t="n"/>
      <c r="S90" s="23" t="n"/>
      <c r="T90" s="23" t="n"/>
      <c r="U90" s="23" t="n"/>
      <c r="V90" s="23" t="n"/>
      <c r="W90" s="547" t="n"/>
    </row>
    <row r="91" ht="16" customHeight="1" thickBot="1"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38" t="inlineStr">
        <is>
          <t>AYÇÖREĞİ</t>
        </is>
      </c>
      <c r="O91" s="573" t="n"/>
      <c r="P91" s="574" t="n"/>
      <c r="Q91" s="38" t="n">
        <v>0</v>
      </c>
      <c r="R91" s="574" t="n"/>
      <c r="S91" s="23" t="n"/>
      <c r="T91" s="23" t="n"/>
      <c r="U91" s="23" t="n"/>
      <c r="V91" s="23" t="n"/>
      <c r="W91" s="547" t="n"/>
    </row>
    <row r="92"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547" t="n"/>
    </row>
    <row r="93"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547" t="n"/>
    </row>
    <row r="94"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547" t="n"/>
    </row>
    <row r="95"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547" t="n"/>
    </row>
    <row r="96">
      <c r="W96" s="547" t="n"/>
    </row>
    <row r="97">
      <c r="W97" s="547" t="n"/>
    </row>
    <row r="98">
      <c r="W98" s="547" t="n"/>
    </row>
    <row r="99">
      <c r="W99" s="547" t="n"/>
    </row>
    <row r="100">
      <c r="W100" s="547" t="n"/>
    </row>
    <row r="101">
      <c r="W101" s="547" t="n"/>
    </row>
    <row r="102">
      <c r="W102" s="547" t="n"/>
    </row>
  </sheetData>
  <mergeCells count="448">
    <mergeCell ref="W47:Y47"/>
    <mergeCell ref="W69:AA69"/>
    <mergeCell ref="N42:P42"/>
    <mergeCell ref="N17:P17"/>
    <mergeCell ref="C21:E21"/>
    <mergeCell ref="W7:Y7"/>
    <mergeCell ref="N44:P44"/>
    <mergeCell ref="Z53:AA53"/>
    <mergeCell ref="N19:P19"/>
    <mergeCell ref="C23:E23"/>
    <mergeCell ref="W58:Y58"/>
    <mergeCell ref="G55:L55"/>
    <mergeCell ref="Q63:R63"/>
    <mergeCell ref="W60:Y60"/>
    <mergeCell ref="Q90:R90"/>
    <mergeCell ref="G46:L46"/>
    <mergeCell ref="G40:L40"/>
    <mergeCell ref="C18:E18"/>
    <mergeCell ref="W53:Y53"/>
    <mergeCell ref="Q27:R27"/>
    <mergeCell ref="C34:E34"/>
    <mergeCell ref="G71:L71"/>
    <mergeCell ref="N32:P32"/>
    <mergeCell ref="W82:AA82"/>
    <mergeCell ref="G66:L66"/>
    <mergeCell ref="Q37:R37"/>
    <mergeCell ref="G53:L53"/>
    <mergeCell ref="Z41:AA41"/>
    <mergeCell ref="G74:L74"/>
    <mergeCell ref="W59:Y59"/>
    <mergeCell ref="G68:L68"/>
    <mergeCell ref="W46:Y46"/>
    <mergeCell ref="W21:Y21"/>
    <mergeCell ref="Z43:AA43"/>
    <mergeCell ref="Q38:R38"/>
    <mergeCell ref="W61:Y61"/>
    <mergeCell ref="W48:Y48"/>
    <mergeCell ref="W75:AA75"/>
    <mergeCell ref="Z3:AA3"/>
    <mergeCell ref="Q40:R40"/>
    <mergeCell ref="Q15:R15"/>
    <mergeCell ref="W72:AA72"/>
    <mergeCell ref="N45:P45"/>
    <mergeCell ref="Z5:AA5"/>
    <mergeCell ref="N20:P20"/>
    <mergeCell ref="C24:E24"/>
    <mergeCell ref="W70:AA70"/>
    <mergeCell ref="W10:Y10"/>
    <mergeCell ref="N47:P47"/>
    <mergeCell ref="G16:H16"/>
    <mergeCell ref="N22:P22"/>
    <mergeCell ref="G48:L48"/>
    <mergeCell ref="C26:E26"/>
    <mergeCell ref="G9:H9"/>
    <mergeCell ref="Q91:R91"/>
    <mergeCell ref="W88:AA88"/>
    <mergeCell ref="W3:Y3"/>
    <mergeCell ref="Q77:R77"/>
    <mergeCell ref="G62:L62"/>
    <mergeCell ref="G11:H11"/>
    <mergeCell ref="W83:AA83"/>
    <mergeCell ref="Z16:AA16"/>
    <mergeCell ref="Q72:R72"/>
    <mergeCell ref="N40:P40"/>
    <mergeCell ref="W85:AA85"/>
    <mergeCell ref="Z18:AA18"/>
    <mergeCell ref="G76:L76"/>
    <mergeCell ref="W29:Y29"/>
    <mergeCell ref="Z17:AA17"/>
    <mergeCell ref="C37:E37"/>
    <mergeCell ref="W23:Y23"/>
    <mergeCell ref="Q59:R59"/>
    <mergeCell ref="Q46:R46"/>
    <mergeCell ref="N35:P35"/>
    <mergeCell ref="Q61:R61"/>
    <mergeCell ref="G77:L77"/>
    <mergeCell ref="W6:Y6"/>
    <mergeCell ref="C14:E14"/>
    <mergeCell ref="N66:P66"/>
    <mergeCell ref="N53:P53"/>
    <mergeCell ref="Q41:R41"/>
    <mergeCell ref="W64:Y64"/>
    <mergeCell ref="N3:P3"/>
    <mergeCell ref="W51:Y51"/>
    <mergeCell ref="N68:P68"/>
    <mergeCell ref="Q56:R56"/>
    <mergeCell ref="W78:AA78"/>
    <mergeCell ref="N46:P46"/>
    <mergeCell ref="Z6:AA6"/>
    <mergeCell ref="Q43:R43"/>
    <mergeCell ref="N5:P5"/>
    <mergeCell ref="N61:P61"/>
    <mergeCell ref="G87:L87"/>
    <mergeCell ref="W80:AA80"/>
    <mergeCell ref="G17:H17"/>
    <mergeCell ref="C27:E27"/>
    <mergeCell ref="G19:H19"/>
    <mergeCell ref="W42:Y42"/>
    <mergeCell ref="G64:L64"/>
    <mergeCell ref="G6:H6"/>
    <mergeCell ref="G88:L88"/>
    <mergeCell ref="G51:L51"/>
    <mergeCell ref="W17:Y17"/>
    <mergeCell ref="W11:Y11"/>
    <mergeCell ref="Q34:R34"/>
    <mergeCell ref="W91:AA91"/>
    <mergeCell ref="W19:Y19"/>
    <mergeCell ref="G14:H14"/>
    <mergeCell ref="Q36:R36"/>
    <mergeCell ref="W93:AA93"/>
    <mergeCell ref="N54:P54"/>
    <mergeCell ref="N41:P41"/>
    <mergeCell ref="N16:P16"/>
    <mergeCell ref="G42:L42"/>
    <mergeCell ref="I3:L3"/>
    <mergeCell ref="C45:E45"/>
    <mergeCell ref="Z19:AA19"/>
    <mergeCell ref="N51:P51"/>
    <mergeCell ref="N56:P56"/>
    <mergeCell ref="N43:P43"/>
    <mergeCell ref="C47:E47"/>
    <mergeCell ref="C40:E40"/>
    <mergeCell ref="Q62:R62"/>
    <mergeCell ref="G83:L83"/>
    <mergeCell ref="N67:P67"/>
    <mergeCell ref="Q64:R64"/>
    <mergeCell ref="Q51:R51"/>
    <mergeCell ref="N9:P9"/>
    <mergeCell ref="Z37:AA37"/>
    <mergeCell ref="W79:AA79"/>
    <mergeCell ref="W81:AA81"/>
    <mergeCell ref="Z38:AA38"/>
    <mergeCell ref="Q9:R9"/>
    <mergeCell ref="W44:Y44"/>
    <mergeCell ref="N4:P4"/>
    <mergeCell ref="Z13:AA13"/>
    <mergeCell ref="G20:H20"/>
    <mergeCell ref="Q17:R17"/>
    <mergeCell ref="Q11:R11"/>
    <mergeCell ref="Z63:AA63"/>
    <mergeCell ref="Z15:AA15"/>
    <mergeCell ref="G22:H22"/>
    <mergeCell ref="Q75:R75"/>
    <mergeCell ref="W20:Y20"/>
    <mergeCell ref="Q12:R12"/>
    <mergeCell ref="N18:P18"/>
    <mergeCell ref="W99:AA99"/>
    <mergeCell ref="Z27:AA27"/>
    <mergeCell ref="W22:Y22"/>
    <mergeCell ref="Q52:R52"/>
    <mergeCell ref="Q39:R39"/>
    <mergeCell ref="N82:P82"/>
    <mergeCell ref="C46:E46"/>
    <mergeCell ref="W92:AA92"/>
    <mergeCell ref="Z25:AA25"/>
    <mergeCell ref="N57:P57"/>
    <mergeCell ref="W9:Y9"/>
    <mergeCell ref="G45:L45"/>
    <mergeCell ref="C48:E48"/>
    <mergeCell ref="W94:AA94"/>
    <mergeCell ref="Z22:AA22"/>
    <mergeCell ref="W38:Y38"/>
    <mergeCell ref="G47:L47"/>
    <mergeCell ref="G84:L84"/>
    <mergeCell ref="W4:Y4"/>
    <mergeCell ref="Q65:R65"/>
    <mergeCell ref="G86:L86"/>
    <mergeCell ref="W33:Y33"/>
    <mergeCell ref="Z59:AA59"/>
    <mergeCell ref="N37:P37"/>
    <mergeCell ref="Z46:AA46"/>
    <mergeCell ref="N12:P12"/>
    <mergeCell ref="N72:P72"/>
    <mergeCell ref="W35:Y35"/>
    <mergeCell ref="G38:L38"/>
    <mergeCell ref="C16:E16"/>
    <mergeCell ref="N14:P14"/>
    <mergeCell ref="C9:E9"/>
    <mergeCell ref="Z54:AA54"/>
    <mergeCell ref="Q83:R83"/>
    <mergeCell ref="G33:L33"/>
    <mergeCell ref="C36:E36"/>
    <mergeCell ref="C11:E11"/>
    <mergeCell ref="Q20:R20"/>
    <mergeCell ref="Q14:R14"/>
    <mergeCell ref="Q85:R85"/>
    <mergeCell ref="G35:L35"/>
    <mergeCell ref="N90:P90"/>
    <mergeCell ref="Q78:R78"/>
    <mergeCell ref="W100:AA100"/>
    <mergeCell ref="N65:P65"/>
    <mergeCell ref="N27:P27"/>
    <mergeCell ref="N83:P83"/>
    <mergeCell ref="Q80:R80"/>
    <mergeCell ref="W102:AA102"/>
    <mergeCell ref="G59:L59"/>
    <mergeCell ref="C6:E6"/>
    <mergeCell ref="N91:P91"/>
    <mergeCell ref="N25:P25"/>
    <mergeCell ref="N85:P85"/>
    <mergeCell ref="Z34:AA34"/>
    <mergeCell ref="Z28:AA28"/>
    <mergeCell ref="G67:L67"/>
    <mergeCell ref="G61:L61"/>
    <mergeCell ref="Z30:AA30"/>
    <mergeCell ref="Q25:R25"/>
    <mergeCell ref="W54:Y54"/>
    <mergeCell ref="W41:Y41"/>
    <mergeCell ref="Q33:R33"/>
    <mergeCell ref="Z61:AA61"/>
    <mergeCell ref="W56:Y56"/>
    <mergeCell ref="Q8:R8"/>
    <mergeCell ref="W43:Y43"/>
    <mergeCell ref="N38:P38"/>
    <mergeCell ref="N13:P13"/>
    <mergeCell ref="N78:P78"/>
    <mergeCell ref="Q10:R10"/>
    <mergeCell ref="C17:E17"/>
    <mergeCell ref="Z62:AA62"/>
    <mergeCell ref="Z56:AA56"/>
    <mergeCell ref="G54:L54"/>
    <mergeCell ref="N15:P15"/>
    <mergeCell ref="G41:L41"/>
    <mergeCell ref="N80:P80"/>
    <mergeCell ref="C19:E19"/>
    <mergeCell ref="Z64:AA64"/>
    <mergeCell ref="Z51:AA51"/>
    <mergeCell ref="Q22:R22"/>
    <mergeCell ref="G56:L56"/>
    <mergeCell ref="G43:L43"/>
    <mergeCell ref="W25:Y25"/>
    <mergeCell ref="Q86:R86"/>
    <mergeCell ref="G36:L36"/>
    <mergeCell ref="G31:H31"/>
    <mergeCell ref="Z9:AA9"/>
    <mergeCell ref="N33:P33"/>
    <mergeCell ref="Q21:R21"/>
    <mergeCell ref="Z11:AA11"/>
    <mergeCell ref="G69:L69"/>
    <mergeCell ref="W16:Y16"/>
    <mergeCell ref="Z50:AA50"/>
    <mergeCell ref="N28:P28"/>
    <mergeCell ref="W18:Y18"/>
    <mergeCell ref="C7:E7"/>
    <mergeCell ref="Q35:R35"/>
    <mergeCell ref="Z52:AA52"/>
    <mergeCell ref="N30:P30"/>
    <mergeCell ref="Z39:AA39"/>
    <mergeCell ref="W57:Y57"/>
    <mergeCell ref="Q49:R49"/>
    <mergeCell ref="W71:AA71"/>
    <mergeCell ref="Q30:R30"/>
    <mergeCell ref="Q76:R76"/>
    <mergeCell ref="W73:AA73"/>
    <mergeCell ref="N81:P81"/>
    <mergeCell ref="C20:E20"/>
    <mergeCell ref="C25:E25"/>
    <mergeCell ref="G82:L82"/>
    <mergeCell ref="Z65:AA65"/>
    <mergeCell ref="G12:H12"/>
    <mergeCell ref="G57:L57"/>
    <mergeCell ref="C22:E22"/>
    <mergeCell ref="W68:AA68"/>
    <mergeCell ref="W62:Y62"/>
    <mergeCell ref="W84:AA84"/>
    <mergeCell ref="W12:Y12"/>
    <mergeCell ref="Q54:R54"/>
    <mergeCell ref="G58:L58"/>
    <mergeCell ref="Q29:R29"/>
    <mergeCell ref="Q23:R23"/>
    <mergeCell ref="N59:P59"/>
    <mergeCell ref="N34:P34"/>
    <mergeCell ref="Q31:R31"/>
    <mergeCell ref="C38:E38"/>
    <mergeCell ref="Z12:AA12"/>
    <mergeCell ref="N49:P49"/>
    <mergeCell ref="C13:E13"/>
    <mergeCell ref="N36:P36"/>
    <mergeCell ref="Q89:R89"/>
    <mergeCell ref="Z14:AA14"/>
    <mergeCell ref="C15:E15"/>
    <mergeCell ref="G72:L72"/>
    <mergeCell ref="Z60:AA60"/>
    <mergeCell ref="C33:E33"/>
    <mergeCell ref="G25:H25"/>
    <mergeCell ref="G70:L70"/>
    <mergeCell ref="W65:Y65"/>
    <mergeCell ref="C35:E35"/>
    <mergeCell ref="Q57:R57"/>
    <mergeCell ref="C10:E10"/>
    <mergeCell ref="Z55:AA55"/>
    <mergeCell ref="N62:P62"/>
    <mergeCell ref="Q42:R42"/>
    <mergeCell ref="N64:P64"/>
    <mergeCell ref="W74:AA74"/>
    <mergeCell ref="Z7:AA7"/>
    <mergeCell ref="G65:L65"/>
    <mergeCell ref="W76:AA76"/>
    <mergeCell ref="G13:H13"/>
    <mergeCell ref="C2:E4"/>
    <mergeCell ref="Z58:AA58"/>
    <mergeCell ref="Q4:R4"/>
    <mergeCell ref="C28:E28"/>
    <mergeCell ref="G85:L85"/>
    <mergeCell ref="W14:Y14"/>
    <mergeCell ref="G15:H15"/>
    <mergeCell ref="G60:L60"/>
    <mergeCell ref="W13:Y13"/>
    <mergeCell ref="C30:E30"/>
    <mergeCell ref="N11:P11"/>
    <mergeCell ref="Q70:R70"/>
    <mergeCell ref="Z20:AA20"/>
    <mergeCell ref="W15:Y15"/>
    <mergeCell ref="Q45:R45"/>
    <mergeCell ref="Q32:R32"/>
    <mergeCell ref="N75:P75"/>
    <mergeCell ref="Q47:R47"/>
    <mergeCell ref="C41:E41"/>
    <mergeCell ref="W87:AA87"/>
    <mergeCell ref="N52:P52"/>
    <mergeCell ref="G78:L78"/>
    <mergeCell ref="N39:P39"/>
    <mergeCell ref="G8:H8"/>
    <mergeCell ref="C43:E43"/>
    <mergeCell ref="W89:AA89"/>
    <mergeCell ref="G80:L80"/>
    <mergeCell ref="G10:H10"/>
    <mergeCell ref="Q58:R58"/>
    <mergeCell ref="G79:L79"/>
    <mergeCell ref="Q50:R50"/>
    <mergeCell ref="G73:L73"/>
    <mergeCell ref="G3:H3"/>
    <mergeCell ref="Z33:AA33"/>
    <mergeCell ref="G5:H5"/>
    <mergeCell ref="W28:Y28"/>
    <mergeCell ref="N7:P7"/>
    <mergeCell ref="Z35:AA35"/>
    <mergeCell ref="N63:P63"/>
    <mergeCell ref="W77:AA77"/>
    <mergeCell ref="N50:P50"/>
    <mergeCell ref="Z10:AA10"/>
    <mergeCell ref="W5:Y5"/>
    <mergeCell ref="C29:E29"/>
    <mergeCell ref="Q13:R13"/>
    <mergeCell ref="G21:H21"/>
    <mergeCell ref="Q7:R7"/>
    <mergeCell ref="C44:E44"/>
    <mergeCell ref="C31:E31"/>
    <mergeCell ref="G23:H23"/>
    <mergeCell ref="Q71:R71"/>
    <mergeCell ref="Q55:R55"/>
    <mergeCell ref="Q73:R73"/>
    <mergeCell ref="W95:AA95"/>
    <mergeCell ref="G18:H18"/>
    <mergeCell ref="W97:AA97"/>
    <mergeCell ref="Z21:AA21"/>
    <mergeCell ref="W96:AA96"/>
    <mergeCell ref="W90:AA90"/>
    <mergeCell ref="C49:E49"/>
    <mergeCell ref="Z29:AA29"/>
    <mergeCell ref="Z23:AA23"/>
    <mergeCell ref="N55:P55"/>
    <mergeCell ref="G81:L81"/>
    <mergeCell ref="W34:Y34"/>
    <mergeCell ref="C42:E42"/>
    <mergeCell ref="Z24:AA24"/>
    <mergeCell ref="W30:Y30"/>
    <mergeCell ref="Q66:R66"/>
    <mergeCell ref="Q53:R53"/>
    <mergeCell ref="N71:P71"/>
    <mergeCell ref="Q3:R3"/>
    <mergeCell ref="Q68:R68"/>
    <mergeCell ref="N58:P58"/>
    <mergeCell ref="Z49:AA49"/>
    <mergeCell ref="N8:P8"/>
    <mergeCell ref="W31:Y31"/>
    <mergeCell ref="G34:L34"/>
    <mergeCell ref="N73:P73"/>
    <mergeCell ref="C12:E12"/>
    <mergeCell ref="Z57:AA57"/>
    <mergeCell ref="N10:P10"/>
    <mergeCell ref="C39:E39"/>
    <mergeCell ref="C32:E32"/>
    <mergeCell ref="G24:H24"/>
    <mergeCell ref="G44:L44"/>
    <mergeCell ref="Q81:R81"/>
    <mergeCell ref="T3:T4"/>
    <mergeCell ref="N86:P86"/>
    <mergeCell ref="W49:Y49"/>
    <mergeCell ref="G26:H26"/>
    <mergeCell ref="Z4:AA4"/>
    <mergeCell ref="W24:Y24"/>
    <mergeCell ref="W98:AA98"/>
    <mergeCell ref="Z31:AA31"/>
    <mergeCell ref="W26:Y26"/>
    <mergeCell ref="N21:P21"/>
    <mergeCell ref="C50:E50"/>
    <mergeCell ref="Q28:R28"/>
    <mergeCell ref="N23:P23"/>
    <mergeCell ref="B2:B3"/>
    <mergeCell ref="G49:L49"/>
    <mergeCell ref="Z26:AA26"/>
    <mergeCell ref="Q67:R67"/>
    <mergeCell ref="Q5:R5"/>
    <mergeCell ref="W52:Y52"/>
    <mergeCell ref="W39:Y39"/>
    <mergeCell ref="W66:AA66"/>
    <mergeCell ref="Z42:AA42"/>
    <mergeCell ref="Q6:R6"/>
    <mergeCell ref="W37:Y37"/>
    <mergeCell ref="G75:L75"/>
    <mergeCell ref="Z44:AA44"/>
    <mergeCell ref="N76:P76"/>
    <mergeCell ref="W86:AA86"/>
    <mergeCell ref="G32:H32"/>
    <mergeCell ref="W101:AA101"/>
    <mergeCell ref="G39:L39"/>
    <mergeCell ref="Q16:R16"/>
    <mergeCell ref="Z45:AA45"/>
    <mergeCell ref="N77:P77"/>
    <mergeCell ref="Q87:R87"/>
    <mergeCell ref="G37:L37"/>
    <mergeCell ref="W63:Y63"/>
    <mergeCell ref="G27:H27"/>
    <mergeCell ref="W50:Y50"/>
    <mergeCell ref="Q24:R24"/>
    <mergeCell ref="Q18:R18"/>
    <mergeCell ref="N29:P29"/>
    <mergeCell ref="Q82:R82"/>
    <mergeCell ref="W27:Y27"/>
    <mergeCell ref="C8:E8"/>
    <mergeCell ref="U3:U4"/>
    <mergeCell ref="N31:P31"/>
    <mergeCell ref="N87:P87"/>
    <mergeCell ref="Q19:R19"/>
    <mergeCell ref="Z47:AA47"/>
    <mergeCell ref="N6:P6"/>
    <mergeCell ref="G63:L63"/>
    <mergeCell ref="N24:P24"/>
    <mergeCell ref="G50:L50"/>
    <mergeCell ref="N89:P89"/>
    <mergeCell ref="Q44:R44"/>
    <mergeCell ref="Z48:AA48"/>
    <mergeCell ref="G52:L52"/>
    <mergeCell ref="C5:E5"/>
    <mergeCell ref="W45:Y45"/>
    <mergeCell ref="W67:AA67"/>
    <mergeCell ref="W55:Y55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Kullanıcısı</dc:creator>
  <dcterms:created xsi:type="dcterms:W3CDTF">2026-07-11T08:30:31Z</dcterms:created>
  <dcterms:modified xsi:type="dcterms:W3CDTF">2026-08-26T07:31:04Z</dcterms:modified>
  <cp:lastModifiedBy>ELİZE PATİSSERİE SERKAN</cp:lastModifiedBy>
  <cp:lastPrinted>2026-07-17T05:33:23Z</cp:lastPrinted>
</cp:coreProperties>
</file>